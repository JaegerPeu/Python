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utionswm-my.sharepoint.com/personal/pedro_duarte_solutionsmfo_com_br/Documents/Área de Trabalho/"/>
    </mc:Choice>
  </mc:AlternateContent>
  <xr:revisionPtr revIDLastSave="3" documentId="8_{54F8BDE1-0CFA-4A59-A42B-B2A6C9E94552}" xr6:coauthVersionLast="47" xr6:coauthVersionMax="47" xr10:uidLastSave="{1CC9C93B-E594-4C45-9B78-1A71F1D25AFE}"/>
  <bookViews>
    <workbookView xWindow="-120" yWindow="-120" windowWidth="29040" windowHeight="15720" xr2:uid="{7FF78E14-6608-4809-9AAF-3A91AE33DF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<sst xmlns="http://schemas.openxmlformats.org/spreadsheetml/2006/main" count="284" uniqueCount="75">
  <si>
    <t>Data_posição</t>
  </si>
  <si>
    <t>Ativo</t>
  </si>
  <si>
    <t>PRODUTO</t>
  </si>
  <si>
    <t>Cota</t>
  </si>
  <si>
    <t>Industry</t>
  </si>
  <si>
    <t>% PL</t>
  </si>
  <si>
    <t>Origem</t>
  </si>
  <si>
    <t>W%</t>
  </si>
  <si>
    <t>PL FUNDO</t>
  </si>
  <si>
    <t>MULTIAGRO MEZANINO</t>
  </si>
  <si>
    <t>FIDC</t>
  </si>
  <si>
    <t>Mezanino</t>
  </si>
  <si>
    <t>Agronegocio</t>
  </si>
  <si>
    <t>Cashplus</t>
  </si>
  <si>
    <t>AVANTI SÊNIOR</t>
  </si>
  <si>
    <t>Sênior</t>
  </si>
  <si>
    <t>Corporativo</t>
  </si>
  <si>
    <t>EXPLORER FIDC SR</t>
  </si>
  <si>
    <t>Estruturado</t>
  </si>
  <si>
    <t>APOLLO II FIDCNP MZ1</t>
  </si>
  <si>
    <t>SOLDI MEZANINO</t>
  </si>
  <si>
    <t>NAPOLI FIDC MZ</t>
  </si>
  <si>
    <t>MILK MEZANINO</t>
  </si>
  <si>
    <t xml:space="preserve">LIMAJ </t>
  </si>
  <si>
    <t>MULTIPLICA MEZANINO</t>
  </si>
  <si>
    <t>Multi/Multi</t>
  </si>
  <si>
    <t>GAD SÊNIOR</t>
  </si>
  <si>
    <t>MULTIPLIK FIDC SR</t>
  </si>
  <si>
    <t>MULTIPLIK FIDC MZ</t>
  </si>
  <si>
    <t>PHENIX MEZANINO</t>
  </si>
  <si>
    <t>PHENIX SÊNIOR</t>
  </si>
  <si>
    <t>GO KENERSON SÊNIOR</t>
  </si>
  <si>
    <t>MILK SÊNIOR</t>
  </si>
  <si>
    <t>GO KENERSON MEZANINO</t>
  </si>
  <si>
    <t>GV CASH RF DI LP FI</t>
  </si>
  <si>
    <t>CAIXA</t>
  </si>
  <si>
    <t>Caixa</t>
  </si>
  <si>
    <t>EVOLVE FIDC NP MZ1</t>
  </si>
  <si>
    <t>AMADEUS FIDC MZ1</t>
  </si>
  <si>
    <t>MULTIPLIKE FIDC SENIOR</t>
  </si>
  <si>
    <t xml:space="preserve">Megeve </t>
  </si>
  <si>
    <t>GAVEA OPEN FIDC SENIOR</t>
  </si>
  <si>
    <t>BMA FIDC SENIOR</t>
  </si>
  <si>
    <t>OXSS FIDC SENIOR</t>
  </si>
  <si>
    <t>GFM FIDC SENIOR</t>
  </si>
  <si>
    <t>OPHIR FIDC SENIOR</t>
  </si>
  <si>
    <t>SIFRA PLUS FIDC MULTISSEG</t>
  </si>
  <si>
    <t>RAIZES FIDC SENIOR</t>
  </si>
  <si>
    <t>ATF EXCLUSIVO FIDC SENIOR</t>
  </si>
  <si>
    <t>MR FIDC SENIOR</t>
  </si>
  <si>
    <t>VALECRED FIDC SENIOR</t>
  </si>
  <si>
    <t>MULTIPLIX FIDC SENIOR</t>
  </si>
  <si>
    <t>AUDAX FIDC SENIOR</t>
  </si>
  <si>
    <t>SIGMA CREDIT FIDC</t>
  </si>
  <si>
    <t>BARCELONA FIDC SENIOR</t>
  </si>
  <si>
    <t>APPALOOSA FIDC</t>
  </si>
  <si>
    <t>APG FIDC SENIOR</t>
  </si>
  <si>
    <t>VENTURA FIDC SENIOR</t>
  </si>
  <si>
    <t>UNIQUE AAA FIDC SNR</t>
  </si>
  <si>
    <t>RDF FIDC SR1</t>
  </si>
  <si>
    <t>LIMAJ</t>
  </si>
  <si>
    <t>LEVE</t>
  </si>
  <si>
    <t>ADGM</t>
  </si>
  <si>
    <t>CERUS</t>
  </si>
  <si>
    <t>MULTIPLIKE</t>
  </si>
  <si>
    <t>SG FIDC</t>
  </si>
  <si>
    <t>DISAM FIDC</t>
  </si>
  <si>
    <t>ARCESP SNR</t>
  </si>
  <si>
    <t>Consignado Militar</t>
  </si>
  <si>
    <t>ARCESP MEZ</t>
  </si>
  <si>
    <t>FIRMA FIDC SNR</t>
  </si>
  <si>
    <t>IOX II MEZ</t>
  </si>
  <si>
    <t>Guelt fundo caixa</t>
  </si>
  <si>
    <t>St. Moritz</t>
  </si>
  <si>
    <t>Investimento Direto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</si>
</sst>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CBCA-D58C-4091-8A39-E6B7FC1655BB}">
  <dimension ref="A1:I57"/>
  <sheetViews>
    <sheetView tabSelected="1" topLeftCell="A34" workbookViewId="0">
      <selection activeCell="I57" sqref="A57:I58"/>
    </sheetView>
  </sheetViews>
  <sheetFormatPr defaultRowHeight="15" x14ac:dyDescent="0.25"/>
  <cols>
    <col min="1" max="1" width="13.140625" bestFit="1" customWidth="1"/>
    <col min="2" max="2" width="26.140625" bestFit="1" customWidth="1"/>
    <col min="3" max="3" width="10" bestFit="1" customWidth="1"/>
    <col min="4" max="4" width="9.5703125" bestFit="1" customWidth="1"/>
    <col min="5" max="5" width="18" bestFit="1" customWidth="1"/>
    <col min="6" max="6" width="8.140625" bestFit="1" customWidth="1"/>
    <col min="7" max="7" width="9.28515625" bestFit="1" customWidth="1"/>
    <col min="8" max="8" width="9.140625" bestFit="1" customWidth="1"/>
    <col min="9" max="9" width="10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46002</v>
      </c>
      <c r="B2" s="3" t="s">
        <v>9</v>
      </c>
      <c r="C2" t="s">
        <v>10</v>
      </c>
      <c r="D2" t="s">
        <v>11</v>
      </c>
      <c r="E2" t="s">
        <v>12</v>
      </c>
      <c r="F2" s="4">
        <v>0.17119999999999999</v>
      </c>
      <c r="G2" t="s">
        <v>13</v>
      </c>
      <c r="H2" s="5">
        <v>0.32019999999999998</v>
      </c>
      <c r="I2" s="5">
        <f t="shared" ref="I2:I41" si="0">F2*H2</f>
        <v>5.4818239999999997E-2</v>
      </c>
    </row>
    <row r="3" spans="1:9" x14ac:dyDescent="0.25">
      <c r="A3" s="2">
        <v>46002</v>
      </c>
      <c r="B3" s="3" t="s">
        <v>14</v>
      </c>
      <c r="C3" t="s">
        <v>10</v>
      </c>
      <c r="D3" t="s">
        <v>15</v>
      </c>
      <c r="E3" t="s">
        <v>16</v>
      </c>
      <c r="F3" s="4">
        <v>0.13170000000000001</v>
      </c>
      <c r="G3" t="s">
        <v>13</v>
      </c>
      <c r="H3" s="5">
        <v>0.32019999999999998</v>
      </c>
      <c r="I3" s="5">
        <f t="shared" si="0"/>
        <v>4.2170340000000001E-2</v>
      </c>
    </row>
    <row r="4" spans="1:9" x14ac:dyDescent="0.25">
      <c r="A4" s="2">
        <v>46002</v>
      </c>
      <c r="B4" s="3" t="s">
        <v>17</v>
      </c>
      <c r="C4" t="s">
        <v>10</v>
      </c>
      <c r="D4" t="s">
        <v>15</v>
      </c>
      <c r="E4" t="s">
        <v>18</v>
      </c>
      <c r="F4" s="4">
        <v>4.4900000000000002E-2</v>
      </c>
      <c r="G4" t="s">
        <v>13</v>
      </c>
      <c r="H4" s="5">
        <v>0.32019999999999998</v>
      </c>
      <c r="I4" s="5">
        <f t="shared" si="0"/>
        <v>1.4376979999999999E-2</v>
      </c>
    </row>
    <row r="5" spans="1:9" x14ac:dyDescent="0.25">
      <c r="A5" s="2">
        <v>46002</v>
      </c>
      <c r="B5" s="3" t="s">
        <v>19</v>
      </c>
      <c r="C5" t="s">
        <v>10</v>
      </c>
      <c r="D5" t="s">
        <v>11</v>
      </c>
      <c r="E5" t="s">
        <v>16</v>
      </c>
      <c r="F5" s="4">
        <v>3.2599999999999997E-2</v>
      </c>
      <c r="G5" t="s">
        <v>13</v>
      </c>
      <c r="H5" s="5">
        <v>0.32019999999999998</v>
      </c>
      <c r="I5" s="5">
        <f t="shared" si="0"/>
        <v>1.0438519999999998E-2</v>
      </c>
    </row>
    <row r="6" spans="1:9" x14ac:dyDescent="0.25">
      <c r="A6" s="2">
        <v>46002</v>
      </c>
      <c r="B6" s="3" t="s">
        <v>20</v>
      </c>
      <c r="C6" t="s">
        <v>10</v>
      </c>
      <c r="D6" t="s">
        <v>11</v>
      </c>
      <c r="E6" t="s">
        <v>16</v>
      </c>
      <c r="F6" s="4">
        <v>0.10879999999999999</v>
      </c>
      <c r="G6" t="s">
        <v>13</v>
      </c>
      <c r="H6" s="5">
        <v>0.32019999999999998</v>
      </c>
      <c r="I6" s="5">
        <f t="shared" si="0"/>
        <v>3.4837759999999995E-2</v>
      </c>
    </row>
    <row r="7" spans="1:9" x14ac:dyDescent="0.25">
      <c r="A7" s="2">
        <v>46002</v>
      </c>
      <c r="B7" s="3" t="s">
        <v>21</v>
      </c>
      <c r="C7" t="s">
        <v>10</v>
      </c>
      <c r="D7" t="s">
        <v>11</v>
      </c>
      <c r="E7" t="s">
        <v>16</v>
      </c>
      <c r="F7" s="4">
        <v>3.1600000000000003E-2</v>
      </c>
      <c r="G7" t="s">
        <v>13</v>
      </c>
      <c r="H7" s="5">
        <v>0.32019999999999998</v>
      </c>
      <c r="I7" s="5">
        <f t="shared" si="0"/>
        <v>1.011832E-2</v>
      </c>
    </row>
    <row r="8" spans="1:9" x14ac:dyDescent="0.25">
      <c r="A8" s="2">
        <v>46002</v>
      </c>
      <c r="B8" s="3" t="s">
        <v>22</v>
      </c>
      <c r="C8" t="s">
        <v>10</v>
      </c>
      <c r="D8" t="s">
        <v>11</v>
      </c>
      <c r="E8" t="s">
        <v>12</v>
      </c>
      <c r="F8" s="4">
        <v>6.3100000000000003E-2</v>
      </c>
      <c r="G8" t="s">
        <v>13</v>
      </c>
      <c r="H8" s="5">
        <v>0.32019999999999998</v>
      </c>
      <c r="I8" s="5">
        <f t="shared" si="0"/>
        <v>2.020462E-2</v>
      </c>
    </row>
    <row r="9" spans="1:9" x14ac:dyDescent="0.25">
      <c r="A9" s="2">
        <v>46002</v>
      </c>
      <c r="B9" s="3" t="s">
        <v>23</v>
      </c>
      <c r="C9" t="s">
        <v>10</v>
      </c>
      <c r="D9" t="s">
        <v>15</v>
      </c>
      <c r="E9" t="s">
        <v>16</v>
      </c>
      <c r="F9" s="4">
        <v>5.9400000000000001E-2</v>
      </c>
      <c r="G9" t="s">
        <v>13</v>
      </c>
      <c r="H9" s="5">
        <v>0.32019999999999998</v>
      </c>
      <c r="I9" s="5">
        <f t="shared" si="0"/>
        <v>1.9019879999999999E-2</v>
      </c>
    </row>
    <row r="10" spans="1:9" x14ac:dyDescent="0.25">
      <c r="A10" s="2">
        <v>46002</v>
      </c>
      <c r="B10" s="3" t="s">
        <v>24</v>
      </c>
      <c r="C10" t="s">
        <v>10</v>
      </c>
      <c r="D10" t="s">
        <v>11</v>
      </c>
      <c r="E10" t="s">
        <v>25</v>
      </c>
      <c r="F10" s="4">
        <v>5.5100000000000003E-2</v>
      </c>
      <c r="G10" t="s">
        <v>13</v>
      </c>
      <c r="H10" s="5">
        <v>0.32019999999999998</v>
      </c>
      <c r="I10" s="5">
        <f t="shared" si="0"/>
        <v>1.7643019999999999E-2</v>
      </c>
    </row>
    <row r="11" spans="1:9" x14ac:dyDescent="0.25">
      <c r="A11" s="2">
        <v>46002</v>
      </c>
      <c r="B11" s="3" t="s">
        <v>26</v>
      </c>
      <c r="C11" t="s">
        <v>10</v>
      </c>
      <c r="D11" t="s">
        <v>15</v>
      </c>
      <c r="E11" t="s">
        <v>18</v>
      </c>
      <c r="F11" s="4">
        <v>3.6999999999999998E-2</v>
      </c>
      <c r="G11" t="s">
        <v>13</v>
      </c>
      <c r="H11" s="5">
        <v>0.32019999999999998</v>
      </c>
      <c r="I11" s="5">
        <f t="shared" si="0"/>
        <v>1.1847399999999999E-2</v>
      </c>
    </row>
    <row r="12" spans="1:9" x14ac:dyDescent="0.25">
      <c r="A12" s="2">
        <v>46002</v>
      </c>
      <c r="B12" s="3" t="s">
        <v>27</v>
      </c>
      <c r="C12" t="s">
        <v>10</v>
      </c>
      <c r="D12" t="s">
        <v>15</v>
      </c>
      <c r="E12" t="s">
        <v>25</v>
      </c>
      <c r="F12" s="4">
        <v>1.11E-2</v>
      </c>
      <c r="G12" t="s">
        <v>13</v>
      </c>
      <c r="H12" s="5">
        <v>0.32019999999999998</v>
      </c>
      <c r="I12" s="5">
        <f t="shared" si="0"/>
        <v>3.5542199999999999E-3</v>
      </c>
    </row>
    <row r="13" spans="1:9" x14ac:dyDescent="0.25">
      <c r="A13" s="2">
        <v>46002</v>
      </c>
      <c r="B13" s="3" t="s">
        <v>28</v>
      </c>
      <c r="C13" t="s">
        <v>10</v>
      </c>
      <c r="D13" t="s">
        <v>11</v>
      </c>
      <c r="E13" t="s">
        <v>25</v>
      </c>
      <c r="F13" s="4">
        <v>9.0499999999999997E-2</v>
      </c>
      <c r="G13" t="s">
        <v>13</v>
      </c>
      <c r="H13" s="5">
        <v>0.32019999999999998</v>
      </c>
      <c r="I13" s="5">
        <f t="shared" si="0"/>
        <v>2.8978099999999996E-2</v>
      </c>
    </row>
    <row r="14" spans="1:9" x14ac:dyDescent="0.25">
      <c r="A14" s="2">
        <v>46002</v>
      </c>
      <c r="B14" s="3" t="s">
        <v>29</v>
      </c>
      <c r="C14" t="s">
        <v>10</v>
      </c>
      <c r="D14" t="s">
        <v>11</v>
      </c>
      <c r="E14" t="s">
        <v>25</v>
      </c>
      <c r="F14" s="4">
        <v>3.1600000000000003E-2</v>
      </c>
      <c r="G14" t="s">
        <v>13</v>
      </c>
      <c r="H14" s="5">
        <v>0.32019999999999998</v>
      </c>
      <c r="I14" s="5">
        <f t="shared" si="0"/>
        <v>1.011832E-2</v>
      </c>
    </row>
    <row r="15" spans="1:9" x14ac:dyDescent="0.25">
      <c r="A15" s="2">
        <v>46002</v>
      </c>
      <c r="B15" s="3" t="s">
        <v>30</v>
      </c>
      <c r="C15" t="s">
        <v>10</v>
      </c>
      <c r="D15" t="s">
        <v>15</v>
      </c>
      <c r="E15" t="s">
        <v>25</v>
      </c>
      <c r="F15" s="4">
        <v>2.1499999999999998E-2</v>
      </c>
      <c r="G15" t="s">
        <v>13</v>
      </c>
      <c r="H15" s="5">
        <v>0.32019999999999998</v>
      </c>
      <c r="I15" s="5">
        <f t="shared" si="0"/>
        <v>6.8842999999999994E-3</v>
      </c>
    </row>
    <row r="16" spans="1:9" x14ac:dyDescent="0.25">
      <c r="A16" s="2">
        <v>46002</v>
      </c>
      <c r="B16" s="3" t="s">
        <v>31</v>
      </c>
      <c r="C16" t="s">
        <v>10</v>
      </c>
      <c r="D16" t="s">
        <v>15</v>
      </c>
      <c r="E16" t="s">
        <v>25</v>
      </c>
      <c r="F16" s="4">
        <v>1.7500000000000002E-2</v>
      </c>
      <c r="G16" t="s">
        <v>13</v>
      </c>
      <c r="H16" s="5">
        <v>0.32019999999999998</v>
      </c>
      <c r="I16" s="5">
        <f t="shared" si="0"/>
        <v>5.6035E-3</v>
      </c>
    </row>
    <row r="17" spans="1:9" x14ac:dyDescent="0.25">
      <c r="A17" s="2">
        <v>46002</v>
      </c>
      <c r="B17" s="3" t="s">
        <v>32</v>
      </c>
      <c r="C17" t="s">
        <v>10</v>
      </c>
      <c r="D17" t="s">
        <v>15</v>
      </c>
      <c r="E17" t="s">
        <v>12</v>
      </c>
      <c r="F17" s="4">
        <v>1.1299999999999999E-2</v>
      </c>
      <c r="G17" t="s">
        <v>13</v>
      </c>
      <c r="H17" s="5">
        <v>0.32019999999999998</v>
      </c>
      <c r="I17" s="5">
        <f t="shared" si="0"/>
        <v>3.6182599999999994E-3</v>
      </c>
    </row>
    <row r="18" spans="1:9" x14ac:dyDescent="0.25">
      <c r="A18" s="2">
        <v>46002</v>
      </c>
      <c r="B18" s="3" t="s">
        <v>33</v>
      </c>
      <c r="C18" t="s">
        <v>10</v>
      </c>
      <c r="D18" t="s">
        <v>11</v>
      </c>
      <c r="E18" t="s">
        <v>25</v>
      </c>
      <c r="F18" s="4">
        <v>4.5999999999999999E-3</v>
      </c>
      <c r="G18" t="s">
        <v>13</v>
      </c>
      <c r="H18" s="5">
        <v>0.32019999999999998</v>
      </c>
      <c r="I18" s="5">
        <f t="shared" si="0"/>
        <v>1.47292E-3</v>
      </c>
    </row>
    <row r="19" spans="1:9" x14ac:dyDescent="0.25">
      <c r="A19" s="2">
        <v>46002</v>
      </c>
      <c r="B19" s="3" t="s">
        <v>34</v>
      </c>
      <c r="C19" t="s">
        <v>35</v>
      </c>
      <c r="D19" t="s">
        <v>36</v>
      </c>
      <c r="E19" t="s">
        <v>35</v>
      </c>
      <c r="F19" s="4">
        <v>5.9999999999999995E-4</v>
      </c>
      <c r="G19" t="s">
        <v>13</v>
      </c>
      <c r="H19" s="5">
        <v>0.32019999999999998</v>
      </c>
      <c r="I19" s="5">
        <f t="shared" si="0"/>
        <v>1.9211999999999997E-4</v>
      </c>
    </row>
    <row r="20" spans="1:9" x14ac:dyDescent="0.25">
      <c r="A20" s="2">
        <v>46002</v>
      </c>
      <c r="B20" s="3" t="s">
        <v>37</v>
      </c>
      <c r="C20" t="s">
        <v>10</v>
      </c>
      <c r="D20" t="s">
        <v>11</v>
      </c>
      <c r="E20" t="s">
        <v>18</v>
      </c>
      <c r="F20" s="4">
        <v>1E-3</v>
      </c>
      <c r="G20" t="s">
        <v>13</v>
      </c>
      <c r="H20" s="5">
        <v>0.32019999999999998</v>
      </c>
      <c r="I20" s="5">
        <f t="shared" si="0"/>
        <v>3.2019999999999998E-4</v>
      </c>
    </row>
    <row r="21" spans="1:9" x14ac:dyDescent="0.25">
      <c r="A21" s="2">
        <v>46002</v>
      </c>
      <c r="B21" s="3" t="s">
        <v>38</v>
      </c>
      <c r="C21" t="s">
        <v>10</v>
      </c>
      <c r="D21" t="s">
        <v>11</v>
      </c>
      <c r="E21" t="s">
        <v>16</v>
      </c>
      <c r="F21" s="4">
        <v>2.9999999999999997E-4</v>
      </c>
      <c r="G21" t="s">
        <v>13</v>
      </c>
      <c r="H21" s="5">
        <v>0.32019999999999998</v>
      </c>
      <c r="I21" s="5">
        <f t="shared" si="0"/>
        <v>9.6059999999999985E-5</v>
      </c>
    </row>
    <row r="22" spans="1:9" x14ac:dyDescent="0.25">
      <c r="A22" s="2">
        <v>46002</v>
      </c>
      <c r="B22" s="3" t="s">
        <v>39</v>
      </c>
      <c r="C22" t="s">
        <v>10</v>
      </c>
      <c r="D22" t="s">
        <v>15</v>
      </c>
      <c r="E22" t="s">
        <v>25</v>
      </c>
      <c r="F22" s="4">
        <v>9.3299999999999994E-2</v>
      </c>
      <c r="G22" t="s">
        <v>40</v>
      </c>
      <c r="H22" s="5">
        <v>0.28899999999999998</v>
      </c>
      <c r="I22" s="5">
        <f t="shared" si="0"/>
        <v>2.6963699999999997E-2</v>
      </c>
    </row>
    <row r="23" spans="1:9" x14ac:dyDescent="0.25">
      <c r="A23" s="2">
        <v>46002</v>
      </c>
      <c r="B23" s="3" t="s">
        <v>41</v>
      </c>
      <c r="C23" t="s">
        <v>10</v>
      </c>
      <c r="D23" t="s">
        <v>15</v>
      </c>
      <c r="E23" t="s">
        <v>25</v>
      </c>
      <c r="F23" s="4">
        <v>7.5200000000000003E-2</v>
      </c>
      <c r="G23" t="s">
        <v>40</v>
      </c>
      <c r="H23" s="5">
        <v>0.28899999999999998</v>
      </c>
      <c r="I23" s="5">
        <f t="shared" si="0"/>
        <v>2.17328E-2</v>
      </c>
    </row>
    <row r="24" spans="1:9" x14ac:dyDescent="0.25">
      <c r="A24" s="2">
        <v>46002</v>
      </c>
      <c r="B24" s="3" t="s">
        <v>42</v>
      </c>
      <c r="C24" t="s">
        <v>10</v>
      </c>
      <c r="D24" t="s">
        <v>15</v>
      </c>
      <c r="E24" t="s">
        <v>25</v>
      </c>
      <c r="F24" s="4">
        <v>7.0999999999999994E-2</v>
      </c>
      <c r="G24" t="s">
        <v>40</v>
      </c>
      <c r="H24" s="5">
        <v>0.28899999999999998</v>
      </c>
      <c r="I24" s="5">
        <f t="shared" si="0"/>
        <v>2.0518999999999996E-2</v>
      </c>
    </row>
    <row r="25" spans="1:9" x14ac:dyDescent="0.25">
      <c r="A25" s="2">
        <v>46002</v>
      </c>
      <c r="B25" s="3" t="s">
        <v>43</v>
      </c>
      <c r="C25" t="s">
        <v>10</v>
      </c>
      <c r="D25" t="s">
        <v>15</v>
      </c>
      <c r="E25" t="s">
        <v>25</v>
      </c>
      <c r="F25" s="4">
        <v>6.4600000000000005E-2</v>
      </c>
      <c r="G25" t="s">
        <v>40</v>
      </c>
      <c r="H25" s="5">
        <v>0.28899999999999998</v>
      </c>
      <c r="I25" s="5">
        <f t="shared" si="0"/>
        <v>1.8669399999999999E-2</v>
      </c>
    </row>
    <row r="26" spans="1:9" x14ac:dyDescent="0.25">
      <c r="A26" s="2">
        <v>46002</v>
      </c>
      <c r="B26" s="3" t="s">
        <v>44</v>
      </c>
      <c r="C26" t="s">
        <v>10</v>
      </c>
      <c r="D26" t="s">
        <v>15</v>
      </c>
      <c r="E26" t="s">
        <v>25</v>
      </c>
      <c r="F26" s="4">
        <v>6.4000000000000001E-2</v>
      </c>
      <c r="G26" t="s">
        <v>40</v>
      </c>
      <c r="H26" s="5">
        <v>0.28899999999999998</v>
      </c>
      <c r="I26" s="5">
        <f t="shared" si="0"/>
        <v>1.8495999999999999E-2</v>
      </c>
    </row>
    <row r="27" spans="1:9" x14ac:dyDescent="0.25">
      <c r="A27" s="2">
        <v>46002</v>
      </c>
      <c r="B27" s="3" t="s">
        <v>45</v>
      </c>
      <c r="C27" t="s">
        <v>10</v>
      </c>
      <c r="D27" t="s">
        <v>15</v>
      </c>
      <c r="E27" t="s">
        <v>25</v>
      </c>
      <c r="F27" s="4">
        <v>6.7900000000000002E-2</v>
      </c>
      <c r="G27" t="s">
        <v>40</v>
      </c>
      <c r="H27" s="5">
        <v>0.28899999999999998</v>
      </c>
      <c r="I27" s="5">
        <f t="shared" si="0"/>
        <v>1.9623099999999997E-2</v>
      </c>
    </row>
    <row r="28" spans="1:9" x14ac:dyDescent="0.25">
      <c r="A28" s="2">
        <v>46002</v>
      </c>
      <c r="B28" s="3" t="s">
        <v>46</v>
      </c>
      <c r="C28" t="s">
        <v>10</v>
      </c>
      <c r="D28" t="s">
        <v>15</v>
      </c>
      <c r="E28" t="s">
        <v>25</v>
      </c>
      <c r="F28" s="4">
        <v>5.3499999999999999E-2</v>
      </c>
      <c r="G28" t="s">
        <v>40</v>
      </c>
      <c r="H28" s="5">
        <v>0.28899999999999998</v>
      </c>
      <c r="I28" s="5">
        <f t="shared" si="0"/>
        <v>1.5461499999999998E-2</v>
      </c>
    </row>
    <row r="29" spans="1:9" x14ac:dyDescent="0.25">
      <c r="A29" s="2">
        <v>46002</v>
      </c>
      <c r="B29" s="3" t="s">
        <v>47</v>
      </c>
      <c r="C29" t="s">
        <v>10</v>
      </c>
      <c r="D29" t="s">
        <v>15</v>
      </c>
      <c r="E29" t="s">
        <v>25</v>
      </c>
      <c r="F29" s="4">
        <v>5.28E-2</v>
      </c>
      <c r="G29" t="s">
        <v>40</v>
      </c>
      <c r="H29" s="5">
        <v>0.28899999999999998</v>
      </c>
      <c r="I29" s="5">
        <f t="shared" si="0"/>
        <v>1.5259199999999999E-2</v>
      </c>
    </row>
    <row r="30" spans="1:9" x14ac:dyDescent="0.25">
      <c r="A30" s="2">
        <v>46002</v>
      </c>
      <c r="B30" s="3" t="s">
        <v>48</v>
      </c>
      <c r="C30" t="s">
        <v>10</v>
      </c>
      <c r="D30" t="s">
        <v>15</v>
      </c>
      <c r="E30" t="s">
        <v>25</v>
      </c>
      <c r="F30" s="4">
        <v>4.5999999999999999E-2</v>
      </c>
      <c r="G30" t="s">
        <v>40</v>
      </c>
      <c r="H30" s="5">
        <v>0.28899999999999998</v>
      </c>
      <c r="I30" s="5">
        <f t="shared" si="0"/>
        <v>1.3293999999999999E-2</v>
      </c>
    </row>
    <row r="31" spans="1:9" x14ac:dyDescent="0.25">
      <c r="A31" s="2">
        <v>46002</v>
      </c>
      <c r="B31" s="3" t="s">
        <v>49</v>
      </c>
      <c r="C31" t="s">
        <v>10</v>
      </c>
      <c r="D31" t="s">
        <v>15</v>
      </c>
      <c r="E31" t="s">
        <v>25</v>
      </c>
      <c r="F31" s="4">
        <v>4.0099999999999997E-2</v>
      </c>
      <c r="G31" t="s">
        <v>40</v>
      </c>
      <c r="H31" s="5">
        <v>0.28899999999999998</v>
      </c>
      <c r="I31" s="5">
        <f t="shared" si="0"/>
        <v>1.1588899999999997E-2</v>
      </c>
    </row>
    <row r="32" spans="1:9" x14ac:dyDescent="0.25">
      <c r="A32" s="2">
        <v>46002</v>
      </c>
      <c r="B32" s="3" t="s">
        <v>50</v>
      </c>
      <c r="C32" t="s">
        <v>10</v>
      </c>
      <c r="D32" t="s">
        <v>15</v>
      </c>
      <c r="E32" t="s">
        <v>25</v>
      </c>
      <c r="F32" s="4">
        <v>3.9699999999999999E-2</v>
      </c>
      <c r="G32" t="s">
        <v>40</v>
      </c>
      <c r="H32" s="5">
        <v>0.28899999999999998</v>
      </c>
      <c r="I32" s="5">
        <f t="shared" si="0"/>
        <v>1.1473299999999999E-2</v>
      </c>
    </row>
    <row r="33" spans="1:9" x14ac:dyDescent="0.25">
      <c r="A33" s="2">
        <v>46002</v>
      </c>
      <c r="B33" s="3" t="s">
        <v>51</v>
      </c>
      <c r="C33" t="s">
        <v>10</v>
      </c>
      <c r="D33" t="s">
        <v>15</v>
      </c>
      <c r="E33" t="s">
        <v>25</v>
      </c>
      <c r="F33" s="4">
        <v>3.9100000000000003E-2</v>
      </c>
      <c r="G33" t="s">
        <v>40</v>
      </c>
      <c r="H33" s="5">
        <v>0.28899999999999998</v>
      </c>
      <c r="I33" s="5">
        <f t="shared" si="0"/>
        <v>1.12999E-2</v>
      </c>
    </row>
    <row r="34" spans="1:9" x14ac:dyDescent="0.25">
      <c r="A34" s="2">
        <v>46002</v>
      </c>
      <c r="B34" s="3" t="s">
        <v>52</v>
      </c>
      <c r="C34" t="s">
        <v>10</v>
      </c>
      <c r="D34" t="s">
        <v>15</v>
      </c>
      <c r="E34" t="s">
        <v>25</v>
      </c>
      <c r="F34" s="4">
        <v>3.78E-2</v>
      </c>
      <c r="G34" t="s">
        <v>40</v>
      </c>
      <c r="H34" s="5">
        <v>0.28899999999999998</v>
      </c>
      <c r="I34" s="5">
        <f t="shared" si="0"/>
        <v>1.0924199999999998E-2</v>
      </c>
    </row>
    <row r="35" spans="1:9" x14ac:dyDescent="0.25">
      <c r="A35" s="2">
        <v>46002</v>
      </c>
      <c r="B35" s="3" t="s">
        <v>53</v>
      </c>
      <c r="C35" t="s">
        <v>10</v>
      </c>
      <c r="D35" t="s">
        <v>15</v>
      </c>
      <c r="E35" t="s">
        <v>25</v>
      </c>
      <c r="F35" s="4">
        <v>2.9000000000000001E-2</v>
      </c>
      <c r="G35" t="s">
        <v>40</v>
      </c>
      <c r="H35" s="5">
        <v>0.28899999999999998</v>
      </c>
      <c r="I35" s="5">
        <f t="shared" si="0"/>
        <v>8.3809999999999996E-3</v>
      </c>
    </row>
    <row r="36" spans="1:9" x14ac:dyDescent="0.25">
      <c r="A36" s="2">
        <v>46002</v>
      </c>
      <c r="B36" s="3" t="s">
        <v>54</v>
      </c>
      <c r="C36" t="s">
        <v>10</v>
      </c>
      <c r="D36" t="s">
        <v>15</v>
      </c>
      <c r="E36" t="s">
        <v>25</v>
      </c>
      <c r="F36" s="4">
        <v>2.3300000000000001E-2</v>
      </c>
      <c r="G36" t="s">
        <v>40</v>
      </c>
      <c r="H36" s="5">
        <v>0.28899999999999998</v>
      </c>
      <c r="I36" s="5">
        <f t="shared" si="0"/>
        <v>6.7336999999999996E-3</v>
      </c>
    </row>
    <row r="37" spans="1:9" x14ac:dyDescent="0.25">
      <c r="A37" s="2">
        <v>46002</v>
      </c>
      <c r="B37" s="3" t="s">
        <v>55</v>
      </c>
      <c r="C37" t="s">
        <v>10</v>
      </c>
      <c r="D37" t="s">
        <v>15</v>
      </c>
      <c r="E37" t="s">
        <v>25</v>
      </c>
      <c r="F37" s="4">
        <v>2.2800000000000001E-2</v>
      </c>
      <c r="G37" t="s">
        <v>40</v>
      </c>
      <c r="H37" s="5">
        <v>0.28899999999999998</v>
      </c>
      <c r="I37" s="5">
        <f t="shared" si="0"/>
        <v>6.5891999999999999E-3</v>
      </c>
    </row>
    <row r="38" spans="1:9" x14ac:dyDescent="0.25">
      <c r="A38" s="2">
        <v>46002</v>
      </c>
      <c r="B38" s="3" t="s">
        <v>56</v>
      </c>
      <c r="C38" t="s">
        <v>10</v>
      </c>
      <c r="D38" t="s">
        <v>15</v>
      </c>
      <c r="E38" t="s">
        <v>16</v>
      </c>
      <c r="F38" s="4">
        <v>2.4199999999999999E-2</v>
      </c>
      <c r="G38" t="s">
        <v>40</v>
      </c>
      <c r="H38" s="5">
        <v>0.28899999999999998</v>
      </c>
      <c r="I38" s="5">
        <f t="shared" si="0"/>
        <v>6.9937999999999997E-3</v>
      </c>
    </row>
    <row r="39" spans="1:9" x14ac:dyDescent="0.25">
      <c r="A39" s="2">
        <v>46002</v>
      </c>
      <c r="B39" s="3" t="s">
        <v>57</v>
      </c>
      <c r="C39" t="s">
        <v>10</v>
      </c>
      <c r="D39" t="s">
        <v>15</v>
      </c>
      <c r="E39" t="s">
        <v>25</v>
      </c>
      <c r="F39" s="4">
        <v>1.7100000000000001E-2</v>
      </c>
      <c r="G39" t="s">
        <v>40</v>
      </c>
      <c r="H39" s="5">
        <v>0.28899999999999998</v>
      </c>
      <c r="I39" s="5">
        <f t="shared" si="0"/>
        <v>4.9418999999999999E-3</v>
      </c>
    </row>
    <row r="40" spans="1:9" x14ac:dyDescent="0.25">
      <c r="A40" s="2">
        <v>46002</v>
      </c>
      <c r="B40" s="3" t="s">
        <v>58</v>
      </c>
      <c r="C40" t="s">
        <v>10</v>
      </c>
      <c r="D40" t="s">
        <v>15</v>
      </c>
      <c r="E40" t="s">
        <v>25</v>
      </c>
      <c r="F40" s="4">
        <v>4.8800000000000003E-2</v>
      </c>
      <c r="G40" t="s">
        <v>40</v>
      </c>
      <c r="H40" s="5">
        <v>0.28899999999999998</v>
      </c>
      <c r="I40" s="5">
        <f t="shared" si="0"/>
        <v>1.41032E-2</v>
      </c>
    </row>
    <row r="41" spans="1:9" x14ac:dyDescent="0.25">
      <c r="A41" s="2">
        <v>46002</v>
      </c>
      <c r="B41" s="3" t="s">
        <v>59</v>
      </c>
      <c r="C41" t="s">
        <v>10</v>
      </c>
      <c r="D41" t="s">
        <v>15</v>
      </c>
      <c r="E41" t="s">
        <v>25</v>
      </c>
      <c r="F41" s="4">
        <v>6.0000000000000001E-3</v>
      </c>
      <c r="G41" t="s">
        <v>40</v>
      </c>
      <c r="H41" s="5">
        <v>0.28899999999999998</v>
      </c>
      <c r="I41" s="5">
        <f t="shared" si="0"/>
        <v>1.7339999999999999E-3</v>
      </c>
    </row>
    <row r="42" spans="1:9" x14ac:dyDescent="0.25">
      <c r="A42" s="2">
        <v>46002</v>
      </c>
      <c r="B42" s="3" t="s">
        <v>60</v>
      </c>
      <c r="C42" t="s">
        <v>10</v>
      </c>
      <c r="D42" t="s">
        <v>15</v>
      </c>
      <c r="E42" t="s">
        <v>16</v>
      </c>
      <c r="F42" s="5">
        <v>9.5799999999999996E-2</v>
      </c>
      <c r="G42" t="s">
        <v>74</v>
      </c>
      <c r="I42" s="5">
        <f t="shared" ref="I42:I54" si="1">F42</f>
        <v>9.5799999999999996E-2</v>
      </c>
    </row>
    <row r="43" spans="1:9" x14ac:dyDescent="0.25">
      <c r="A43" s="2">
        <v>46002</v>
      </c>
      <c r="B43" s="3" t="s">
        <v>61</v>
      </c>
      <c r="C43" t="s">
        <v>10</v>
      </c>
      <c r="D43" t="s">
        <v>15</v>
      </c>
      <c r="E43" t="s">
        <v>25</v>
      </c>
      <c r="F43" s="5">
        <v>2.8000000000000001E-2</v>
      </c>
      <c r="G43" t="s">
        <v>74</v>
      </c>
      <c r="I43" s="5">
        <f t="shared" si="1"/>
        <v>2.8000000000000001E-2</v>
      </c>
    </row>
    <row r="44" spans="1:9" x14ac:dyDescent="0.25">
      <c r="A44" s="2">
        <v>46002</v>
      </c>
      <c r="B44" s="3" t="s">
        <v>62</v>
      </c>
      <c r="C44" t="s">
        <v>10</v>
      </c>
      <c r="D44" t="s">
        <v>11</v>
      </c>
      <c r="E44" t="s">
        <v>25</v>
      </c>
      <c r="F44" s="5">
        <v>2.63E-2</v>
      </c>
      <c r="G44" t="s">
        <v>74</v>
      </c>
      <c r="I44" s="5">
        <f t="shared" si="1"/>
        <v>2.63E-2</v>
      </c>
    </row>
    <row r="45" spans="1:9" x14ac:dyDescent="0.25">
      <c r="A45" s="2">
        <v>46002</v>
      </c>
      <c r="B45" s="3" t="s">
        <v>63</v>
      </c>
      <c r="C45" t="s">
        <v>10</v>
      </c>
      <c r="D45" t="s">
        <v>15</v>
      </c>
      <c r="E45" t="s">
        <v>25</v>
      </c>
      <c r="F45" s="5">
        <v>3.2199999999999999E-2</v>
      </c>
      <c r="G45" t="s">
        <v>74</v>
      </c>
      <c r="I45" s="5">
        <f t="shared" si="1"/>
        <v>3.2199999999999999E-2</v>
      </c>
    </row>
    <row r="46" spans="1:9" x14ac:dyDescent="0.25">
      <c r="A46" s="2">
        <v>46002</v>
      </c>
      <c r="B46" s="3" t="s">
        <v>64</v>
      </c>
      <c r="C46" t="s">
        <v>10</v>
      </c>
      <c r="D46" t="s">
        <v>15</v>
      </c>
      <c r="E46" t="s">
        <v>25</v>
      </c>
      <c r="F46" s="5">
        <v>7.6E-3</v>
      </c>
      <c r="G46" t="s">
        <v>74</v>
      </c>
      <c r="I46" s="5">
        <f t="shared" si="1"/>
        <v>7.6E-3</v>
      </c>
    </row>
    <row r="47" spans="1:9" x14ac:dyDescent="0.25">
      <c r="A47" s="2">
        <v>46002</v>
      </c>
      <c r="B47" s="3" t="s">
        <v>65</v>
      </c>
      <c r="C47" t="s">
        <v>10</v>
      </c>
      <c r="D47" t="s">
        <v>15</v>
      </c>
      <c r="E47" t="s">
        <v>25</v>
      </c>
      <c r="F47" s="5">
        <v>3.1899999999999998E-2</v>
      </c>
      <c r="G47" t="s">
        <v>74</v>
      </c>
      <c r="I47" s="5">
        <f t="shared" si="1"/>
        <v>3.1899999999999998E-2</v>
      </c>
    </row>
    <row r="48" spans="1:9" x14ac:dyDescent="0.25">
      <c r="A48" s="2">
        <v>46002</v>
      </c>
      <c r="B48" s="3" t="s">
        <v>66</v>
      </c>
      <c r="C48" t="s">
        <v>10</v>
      </c>
      <c r="D48" t="s">
        <v>15</v>
      </c>
      <c r="E48" t="s">
        <v>25</v>
      </c>
      <c r="F48" s="5">
        <v>1.5900000000000001E-2</v>
      </c>
      <c r="G48" t="s">
        <v>74</v>
      </c>
      <c r="I48" s="5">
        <f t="shared" si="1"/>
        <v>1.5900000000000001E-2</v>
      </c>
    </row>
    <row r="49" spans="1:9" x14ac:dyDescent="0.25">
      <c r="A49" s="2">
        <v>46002</v>
      </c>
      <c r="B49" s="6" t="s">
        <v>67</v>
      </c>
      <c r="C49" t="s">
        <v>10</v>
      </c>
      <c r="D49" t="s">
        <v>15</v>
      </c>
      <c r="E49" t="s">
        <v>68</v>
      </c>
      <c r="F49" s="5">
        <v>1.54E-2</v>
      </c>
      <c r="G49" t="s">
        <v>74</v>
      </c>
      <c r="I49" s="5">
        <f t="shared" si="1"/>
        <v>1.54E-2</v>
      </c>
    </row>
    <row r="50" spans="1:9" x14ac:dyDescent="0.25">
      <c r="A50" s="2">
        <v>46002</v>
      </c>
      <c r="B50" s="6" t="s">
        <v>69</v>
      </c>
      <c r="C50" t="s">
        <v>10</v>
      </c>
      <c r="D50" t="s">
        <v>11</v>
      </c>
      <c r="E50" t="s">
        <v>68</v>
      </c>
      <c r="F50" s="5">
        <v>1.5299999999999999E-2</v>
      </c>
      <c r="G50" t="s">
        <v>74</v>
      </c>
      <c r="I50" s="5">
        <f t="shared" si="1"/>
        <v>1.5299999999999999E-2</v>
      </c>
    </row>
    <row r="51" spans="1:9" x14ac:dyDescent="0.25">
      <c r="A51" s="2">
        <v>46002</v>
      </c>
      <c r="B51" s="6" t="s">
        <v>70</v>
      </c>
      <c r="C51" t="s">
        <v>10</v>
      </c>
      <c r="D51" t="s">
        <v>15</v>
      </c>
      <c r="E51" t="s">
        <v>25</v>
      </c>
      <c r="F51" s="5">
        <v>3.0700000000000002E-2</v>
      </c>
      <c r="G51" t="s">
        <v>74</v>
      </c>
      <c r="I51" s="5">
        <f t="shared" si="1"/>
        <v>3.0700000000000002E-2</v>
      </c>
    </row>
    <row r="52" spans="1:9" x14ac:dyDescent="0.25">
      <c r="A52" s="2">
        <v>46002</v>
      </c>
      <c r="B52" s="6" t="s">
        <v>71</v>
      </c>
      <c r="C52" t="s">
        <v>10</v>
      </c>
      <c r="D52" t="s">
        <v>11</v>
      </c>
      <c r="E52" t="s">
        <v>25</v>
      </c>
      <c r="F52" s="5">
        <v>3.0700000000000002E-2</v>
      </c>
      <c r="G52" t="s">
        <v>74</v>
      </c>
      <c r="I52" s="5">
        <f t="shared" si="1"/>
        <v>3.0700000000000002E-2</v>
      </c>
    </row>
    <row r="53" spans="1:9" x14ac:dyDescent="0.25">
      <c r="A53" s="2">
        <v>46002</v>
      </c>
      <c r="B53" s="6" t="s">
        <v>45</v>
      </c>
      <c r="C53" t="s">
        <v>10</v>
      </c>
      <c r="D53" t="s">
        <v>15</v>
      </c>
      <c r="E53" t="s">
        <v>25</v>
      </c>
      <c r="F53" s="5">
        <v>3.0599999999999999E-2</v>
      </c>
      <c r="G53" t="s">
        <v>74</v>
      </c>
      <c r="I53" s="5">
        <f t="shared" si="1"/>
        <v>3.0599999999999999E-2</v>
      </c>
    </row>
    <row r="54" spans="1:9" x14ac:dyDescent="0.25">
      <c r="A54" s="2">
        <v>46002</v>
      </c>
      <c r="B54" s="3" t="s">
        <v>36</v>
      </c>
      <c r="C54" t="s">
        <v>36</v>
      </c>
      <c r="D54" t="s">
        <v>36</v>
      </c>
      <c r="E54" t="s">
        <v>36</v>
      </c>
      <c r="F54" s="5">
        <v>3.04E-2</v>
      </c>
      <c r="G54" t="s">
        <v>74</v>
      </c>
      <c r="I54" s="5">
        <f t="shared" si="1"/>
        <v>3.04E-2</v>
      </c>
    </row>
    <row r="55" spans="1:9" x14ac:dyDescent="0.25">
      <c r="A55" s="2">
        <v>46002</v>
      </c>
      <c r="B55" s="3" t="s">
        <v>72</v>
      </c>
      <c r="C55" t="s">
        <v>36</v>
      </c>
      <c r="D55" t="s">
        <v>36</v>
      </c>
      <c r="E55" t="s">
        <v>36</v>
      </c>
      <c r="F55" s="5">
        <v>2.46E-2</v>
      </c>
      <c r="G55" t="s">
        <v>40</v>
      </c>
      <c r="H55" s="5">
        <v>0.28899999999999998</v>
      </c>
      <c r="I55" s="5">
        <f>F55*H55</f>
        <v>7.1093999999999992E-3</v>
      </c>
    </row>
    <row r="56" spans="1:9" x14ac:dyDescent="0.25">
      <c r="A56" s="2">
        <v>46002</v>
      </c>
      <c r="B56" s="3" t="s">
        <v>73</v>
      </c>
      <c r="C56" t="s">
        <v>36</v>
      </c>
      <c r="D56" t="s">
        <v>36</v>
      </c>
      <c r="E56" t="s">
        <v>36</v>
      </c>
      <c r="F56" s="5">
        <v>6.2399999999999997E-2</v>
      </c>
      <c r="G56" t="s">
        <v>40</v>
      </c>
      <c r="H56" s="5">
        <v>0.28899999999999998</v>
      </c>
      <c r="I56" s="5">
        <f>F56*H56</f>
        <v>1.8033599999999997E-2</v>
      </c>
    </row>
    <row r="57" spans="1:9" x14ac:dyDescent="0.25">
      <c r="F57" s="5"/>
      <c r="G57" s="5"/>
      <c r="H57" s="5"/>
      <c r="I5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Augusto Bernardes Duarte</dc:creator>
  <cp:lastModifiedBy>Pedro Augusto Bernardes Duarte</cp:lastModifiedBy>
  <dcterms:created xsi:type="dcterms:W3CDTF">2025-12-11T18:35:18Z</dcterms:created>
  <dcterms:modified xsi:type="dcterms:W3CDTF">2025-12-11T18:57:47Z</dcterms:modified>
</cp:coreProperties>
</file>