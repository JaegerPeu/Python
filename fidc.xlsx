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AugustoBernarde\Downloads\"/>
    </mc:Choice>
  </mc:AlternateContent>
  <xr:revisionPtr revIDLastSave="0" documentId="13_ncr:1_{C34A2194-60B8-42DD-8662-8CC82BCB1500}" xr6:coauthVersionLast="47" xr6:coauthVersionMax="47" xr10:uidLastSave="{00000000-0000-0000-0000-000000000000}"/>
  <bookViews>
    <workbookView xWindow="-120" yWindow="-120" windowWidth="29040" windowHeight="15720" xr2:uid="{7FF78E14-6608-4809-9AAF-3A91AE33DF31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3" i="1" l="1"/>
  <c r="O63" i="1"/>
  <c r="N63" i="1"/>
  <c r="P62" i="1"/>
  <c r="O62" i="1"/>
  <c r="N62" i="1"/>
  <c r="P61" i="1"/>
  <c r="O61" i="1"/>
  <c r="N61" i="1"/>
  <c r="P60" i="1"/>
  <c r="O60" i="1"/>
  <c r="N60" i="1"/>
  <c r="I60" i="1"/>
  <c r="H60" i="1"/>
  <c r="P59" i="1"/>
  <c r="O59" i="1"/>
  <c r="N59" i="1"/>
  <c r="I59" i="1"/>
  <c r="H59" i="1"/>
  <c r="N58" i="1"/>
  <c r="I58" i="1"/>
  <c r="O58" i="1" s="1"/>
  <c r="H58" i="1"/>
  <c r="P58" i="1" s="1"/>
  <c r="P57" i="1"/>
  <c r="O57" i="1"/>
  <c r="N57" i="1"/>
  <c r="I57" i="1"/>
  <c r="H57" i="1"/>
  <c r="N56" i="1"/>
  <c r="O56" i="1" s="1"/>
  <c r="I56" i="1"/>
  <c r="H56" i="1"/>
  <c r="P56" i="1" s="1"/>
  <c r="N55" i="1"/>
  <c r="I55" i="1"/>
  <c r="O55" i="1" s="1"/>
  <c r="H55" i="1"/>
  <c r="P55" i="1" s="1"/>
  <c r="P54" i="1"/>
  <c r="N54" i="1"/>
  <c r="I54" i="1"/>
  <c r="O54" i="1" s="1"/>
  <c r="H54" i="1"/>
  <c r="N53" i="1"/>
  <c r="I53" i="1"/>
  <c r="O53" i="1" s="1"/>
  <c r="H53" i="1"/>
  <c r="P53" i="1" s="1"/>
  <c r="O52" i="1"/>
  <c r="N52" i="1"/>
  <c r="I52" i="1"/>
  <c r="H52" i="1"/>
  <c r="P52" i="1" s="1"/>
  <c r="N51" i="1"/>
  <c r="I51" i="1"/>
  <c r="O51" i="1" s="1"/>
  <c r="H51" i="1"/>
  <c r="P51" i="1" s="1"/>
  <c r="N50" i="1"/>
  <c r="I50" i="1"/>
  <c r="O50" i="1" s="1"/>
  <c r="H50" i="1"/>
  <c r="P50" i="1" s="1"/>
  <c r="P49" i="1"/>
  <c r="O49" i="1"/>
  <c r="N49" i="1"/>
  <c r="I49" i="1"/>
  <c r="H49" i="1"/>
  <c r="K48" i="1"/>
  <c r="N48" i="1" s="1"/>
  <c r="B48" i="1"/>
  <c r="K47" i="1"/>
  <c r="N47" i="1" s="1"/>
  <c r="B47" i="1"/>
  <c r="N46" i="1"/>
  <c r="P46" i="1" s="1"/>
  <c r="K46" i="1"/>
  <c r="B46" i="1"/>
  <c r="K45" i="1"/>
  <c r="N45" i="1" s="1"/>
  <c r="B45" i="1"/>
  <c r="K44" i="1"/>
  <c r="N44" i="1" s="1"/>
  <c r="B44" i="1"/>
  <c r="K43" i="1"/>
  <c r="N43" i="1" s="1"/>
  <c r="B43" i="1"/>
  <c r="K42" i="1"/>
  <c r="N42" i="1" s="1"/>
  <c r="B42" i="1"/>
  <c r="P41" i="1"/>
  <c r="O41" i="1"/>
  <c r="N41" i="1"/>
  <c r="K41" i="1"/>
  <c r="B41" i="1"/>
  <c r="K40" i="1"/>
  <c r="N40" i="1" s="1"/>
  <c r="B40" i="1"/>
  <c r="K39" i="1"/>
  <c r="N39" i="1" s="1"/>
  <c r="B39" i="1"/>
  <c r="N38" i="1"/>
  <c r="P38" i="1" s="1"/>
  <c r="K38" i="1"/>
  <c r="B38" i="1"/>
  <c r="K37" i="1"/>
  <c r="N37" i="1" s="1"/>
  <c r="B37" i="1"/>
  <c r="K36" i="1"/>
  <c r="N36" i="1" s="1"/>
  <c r="B36" i="1"/>
  <c r="K35" i="1"/>
  <c r="N35" i="1" s="1"/>
  <c r="B35" i="1"/>
  <c r="K34" i="1"/>
  <c r="N34" i="1" s="1"/>
  <c r="B34" i="1"/>
  <c r="P33" i="1"/>
  <c r="O33" i="1"/>
  <c r="N33" i="1"/>
  <c r="K33" i="1"/>
  <c r="B33" i="1"/>
  <c r="K32" i="1"/>
  <c r="N32" i="1" s="1"/>
  <c r="B32" i="1"/>
  <c r="K31" i="1"/>
  <c r="N31" i="1" s="1"/>
  <c r="B31" i="1"/>
  <c r="N30" i="1"/>
  <c r="P30" i="1" s="1"/>
  <c r="K30" i="1"/>
  <c r="B30" i="1"/>
  <c r="K29" i="1"/>
  <c r="N29" i="1" s="1"/>
  <c r="B29" i="1"/>
  <c r="M28" i="1"/>
  <c r="K28" i="1"/>
  <c r="N28" i="1" s="1"/>
  <c r="J28" i="1"/>
  <c r="I28" i="1"/>
  <c r="H28" i="1"/>
  <c r="D28" i="1"/>
  <c r="A28" i="1"/>
  <c r="M27" i="1"/>
  <c r="K27" i="1"/>
  <c r="N27" i="1" s="1"/>
  <c r="J27" i="1"/>
  <c r="I27" i="1"/>
  <c r="O27" i="1" s="1"/>
  <c r="H27" i="1"/>
  <c r="P27" i="1" s="1"/>
  <c r="D27" i="1"/>
  <c r="A27" i="1"/>
  <c r="M26" i="1"/>
  <c r="K26" i="1"/>
  <c r="N26" i="1" s="1"/>
  <c r="J26" i="1"/>
  <c r="I26" i="1"/>
  <c r="H26" i="1"/>
  <c r="D26" i="1"/>
  <c r="A26" i="1"/>
  <c r="N25" i="1"/>
  <c r="P25" i="1" s="1"/>
  <c r="M25" i="1"/>
  <c r="K25" i="1"/>
  <c r="J25" i="1"/>
  <c r="I25" i="1"/>
  <c r="H25" i="1"/>
  <c r="D25" i="1"/>
  <c r="A25" i="1"/>
  <c r="M24" i="1"/>
  <c r="K24" i="1"/>
  <c r="N24" i="1" s="1"/>
  <c r="J24" i="1"/>
  <c r="I24" i="1"/>
  <c r="H24" i="1"/>
  <c r="D24" i="1"/>
  <c r="A24" i="1"/>
  <c r="M23" i="1"/>
  <c r="K23" i="1"/>
  <c r="N23" i="1" s="1"/>
  <c r="J23" i="1"/>
  <c r="I23" i="1"/>
  <c r="H23" i="1"/>
  <c r="D23" i="1"/>
  <c r="A23" i="1"/>
  <c r="M22" i="1"/>
  <c r="K22" i="1"/>
  <c r="N22" i="1" s="1"/>
  <c r="J22" i="1"/>
  <c r="I22" i="1"/>
  <c r="H22" i="1"/>
  <c r="D22" i="1"/>
  <c r="A22" i="1"/>
  <c r="N21" i="1"/>
  <c r="P21" i="1" s="1"/>
  <c r="M21" i="1"/>
  <c r="K21" i="1"/>
  <c r="J21" i="1"/>
  <c r="I21" i="1"/>
  <c r="H21" i="1"/>
  <c r="D21" i="1"/>
  <c r="A21" i="1"/>
  <c r="M20" i="1"/>
  <c r="K20" i="1"/>
  <c r="N20" i="1" s="1"/>
  <c r="J20" i="1"/>
  <c r="I20" i="1"/>
  <c r="H20" i="1"/>
  <c r="D20" i="1"/>
  <c r="A20" i="1"/>
  <c r="M19" i="1"/>
  <c r="K19" i="1"/>
  <c r="N19" i="1" s="1"/>
  <c r="J19" i="1"/>
  <c r="I19" i="1"/>
  <c r="O19" i="1" s="1"/>
  <c r="H19" i="1"/>
  <c r="P19" i="1" s="1"/>
  <c r="D19" i="1"/>
  <c r="A19" i="1"/>
  <c r="M18" i="1"/>
  <c r="K18" i="1"/>
  <c r="N18" i="1" s="1"/>
  <c r="J18" i="1"/>
  <c r="I18" i="1"/>
  <c r="H18" i="1"/>
  <c r="D18" i="1"/>
  <c r="A18" i="1"/>
  <c r="N17" i="1"/>
  <c r="O17" i="1" s="1"/>
  <c r="M17" i="1"/>
  <c r="K17" i="1"/>
  <c r="J17" i="1"/>
  <c r="I17" i="1"/>
  <c r="H17" i="1"/>
  <c r="D17" i="1"/>
  <c r="A17" i="1"/>
  <c r="M16" i="1"/>
  <c r="K16" i="1"/>
  <c r="N16" i="1" s="1"/>
  <c r="P16" i="1" s="1"/>
  <c r="J16" i="1"/>
  <c r="I16" i="1"/>
  <c r="O16" i="1" s="1"/>
  <c r="H16" i="1"/>
  <c r="D16" i="1"/>
  <c r="A16" i="1"/>
  <c r="M15" i="1"/>
  <c r="K15" i="1"/>
  <c r="N15" i="1" s="1"/>
  <c r="J15" i="1"/>
  <c r="I15" i="1"/>
  <c r="H15" i="1"/>
  <c r="D15" i="1"/>
  <c r="A15" i="1"/>
  <c r="M14" i="1"/>
  <c r="K14" i="1"/>
  <c r="N14" i="1" s="1"/>
  <c r="J14" i="1"/>
  <c r="I14" i="1"/>
  <c r="H14" i="1"/>
  <c r="D14" i="1"/>
  <c r="A14" i="1"/>
  <c r="N13" i="1"/>
  <c r="O13" i="1" s="1"/>
  <c r="M13" i="1"/>
  <c r="K13" i="1"/>
  <c r="J13" i="1"/>
  <c r="I13" i="1"/>
  <c r="H13" i="1"/>
  <c r="D13" i="1"/>
  <c r="A13" i="1"/>
  <c r="M12" i="1"/>
  <c r="K12" i="1"/>
  <c r="N12" i="1" s="1"/>
  <c r="P12" i="1" s="1"/>
  <c r="J12" i="1"/>
  <c r="I12" i="1"/>
  <c r="H12" i="1"/>
  <c r="D12" i="1"/>
  <c r="A12" i="1"/>
  <c r="M11" i="1"/>
  <c r="K11" i="1"/>
  <c r="N11" i="1" s="1"/>
  <c r="J11" i="1"/>
  <c r="I11" i="1"/>
  <c r="H11" i="1"/>
  <c r="D11" i="1"/>
  <c r="A11" i="1"/>
  <c r="M10" i="1"/>
  <c r="K10" i="1"/>
  <c r="N10" i="1" s="1"/>
  <c r="J10" i="1"/>
  <c r="I10" i="1"/>
  <c r="O10" i="1" s="1"/>
  <c r="H10" i="1"/>
  <c r="D10" i="1"/>
  <c r="A10" i="1"/>
  <c r="M9" i="1"/>
  <c r="K9" i="1"/>
  <c r="N9" i="1" s="1"/>
  <c r="J9" i="1"/>
  <c r="I9" i="1"/>
  <c r="H9" i="1"/>
  <c r="D9" i="1"/>
  <c r="A9" i="1"/>
  <c r="N8" i="1"/>
  <c r="O8" i="1" s="1"/>
  <c r="M8" i="1"/>
  <c r="K8" i="1"/>
  <c r="J8" i="1"/>
  <c r="I8" i="1"/>
  <c r="H8" i="1"/>
  <c r="D8" i="1"/>
  <c r="A8" i="1"/>
  <c r="M7" i="1"/>
  <c r="K7" i="1"/>
  <c r="N7" i="1" s="1"/>
  <c r="P7" i="1" s="1"/>
  <c r="J7" i="1"/>
  <c r="I7" i="1"/>
  <c r="O7" i="1" s="1"/>
  <c r="H7" i="1"/>
  <c r="D7" i="1"/>
  <c r="A7" i="1"/>
  <c r="M6" i="1"/>
  <c r="K6" i="1"/>
  <c r="N6" i="1" s="1"/>
  <c r="J6" i="1"/>
  <c r="I6" i="1"/>
  <c r="O6" i="1" s="1"/>
  <c r="H6" i="1"/>
  <c r="P6" i="1" s="1"/>
  <c r="D6" i="1"/>
  <c r="A6" i="1"/>
  <c r="M5" i="1"/>
  <c r="K5" i="1"/>
  <c r="N5" i="1" s="1"/>
  <c r="J5" i="1"/>
  <c r="I5" i="1"/>
  <c r="H5" i="1"/>
  <c r="D5" i="1"/>
  <c r="A5" i="1"/>
  <c r="N4" i="1"/>
  <c r="P4" i="1" s="1"/>
  <c r="M4" i="1"/>
  <c r="K4" i="1"/>
  <c r="J4" i="1"/>
  <c r="I4" i="1"/>
  <c r="H4" i="1"/>
  <c r="D4" i="1"/>
  <c r="A4" i="1"/>
  <c r="M3" i="1"/>
  <c r="K3" i="1"/>
  <c r="N3" i="1" s="1"/>
  <c r="P3" i="1" s="1"/>
  <c r="J3" i="1"/>
  <c r="I3" i="1"/>
  <c r="H3" i="1"/>
  <c r="D3" i="1"/>
  <c r="A3" i="1"/>
  <c r="M2" i="1"/>
  <c r="K2" i="1"/>
  <c r="N2" i="1" s="1"/>
  <c r="J2" i="1"/>
  <c r="I2" i="1"/>
  <c r="H2" i="1"/>
  <c r="D2" i="1"/>
  <c r="A2" i="1"/>
  <c r="O2" i="1" l="1"/>
  <c r="O5" i="1"/>
  <c r="P5" i="1"/>
  <c r="O12" i="1"/>
  <c r="O23" i="1"/>
  <c r="O26" i="1"/>
  <c r="P26" i="1"/>
  <c r="O32" i="1"/>
  <c r="P32" i="1"/>
  <c r="O48" i="1"/>
  <c r="P48" i="1"/>
  <c r="P10" i="1"/>
  <c r="O14" i="1"/>
  <c r="P14" i="1"/>
  <c r="O24" i="1"/>
  <c r="P24" i="1"/>
  <c r="P29" i="1"/>
  <c r="O29" i="1"/>
  <c r="P35" i="1"/>
  <c r="O35" i="1"/>
  <c r="P45" i="1"/>
  <c r="O45" i="1"/>
  <c r="O22" i="1"/>
  <c r="P22" i="1"/>
  <c r="P43" i="1"/>
  <c r="O43" i="1"/>
  <c r="P39" i="1"/>
  <c r="O39" i="1"/>
  <c r="O36" i="1"/>
  <c r="P36" i="1"/>
  <c r="O20" i="1"/>
  <c r="P20" i="1"/>
  <c r="O40" i="1"/>
  <c r="P40" i="1"/>
  <c r="P15" i="1"/>
  <c r="P37" i="1"/>
  <c r="O37" i="1"/>
  <c r="O15" i="1"/>
  <c r="O18" i="1"/>
  <c r="P18" i="1"/>
  <c r="O28" i="1"/>
  <c r="P28" i="1"/>
  <c r="P31" i="1"/>
  <c r="O31" i="1"/>
  <c r="P47" i="1"/>
  <c r="O47" i="1"/>
  <c r="P42" i="1"/>
  <c r="O42" i="1"/>
  <c r="O9" i="1"/>
  <c r="P9" i="1"/>
  <c r="P2" i="1"/>
  <c r="O3" i="1"/>
  <c r="P23" i="1"/>
  <c r="P34" i="1"/>
  <c r="O34" i="1"/>
  <c r="O44" i="1"/>
  <c r="P44" i="1"/>
  <c r="O4" i="1"/>
  <c r="P8" i="1"/>
  <c r="P13" i="1"/>
  <c r="P17" i="1"/>
  <c r="O21" i="1"/>
  <c r="O25" i="1"/>
  <c r="O30" i="1"/>
  <c r="O38" i="1"/>
  <c r="O46" i="1"/>
  <c r="P64" i="1" l="1"/>
  <c r="O64" i="1"/>
</calcChain>
</file>

<file path=xl/sharedStrings.xml><?xml version="1.0" encoding="utf-8"?>
<sst xmlns="http://schemas.openxmlformats.org/spreadsheetml/2006/main" count="399" uniqueCount="91">
  <si>
    <t>Data_posição</t>
  </si>
  <si>
    <t>Ativo</t>
  </si>
  <si>
    <t>PRODUTO</t>
  </si>
  <si>
    <t>Cota</t>
  </si>
  <si>
    <t>Industry</t>
  </si>
  <si>
    <t>% PL</t>
  </si>
  <si>
    <t>Origem</t>
  </si>
  <si>
    <t>W%</t>
  </si>
  <si>
    <t>PL FUNDO</t>
  </si>
  <si>
    <t>FIDC</t>
  </si>
  <si>
    <t>Mezanino</t>
  </si>
  <si>
    <t>Cashplus</t>
  </si>
  <si>
    <t>Sênior</t>
  </si>
  <si>
    <t>Corporativo</t>
  </si>
  <si>
    <t>EXPLORER FIDC SR</t>
  </si>
  <si>
    <t>APOLLO II FIDCNP MZ1</t>
  </si>
  <si>
    <t>NAPOLI FIDC MZ</t>
  </si>
  <si>
    <t>Multi/Multi</t>
  </si>
  <si>
    <t>GV CASH RF DI LP FI</t>
  </si>
  <si>
    <t>CAIXA</t>
  </si>
  <si>
    <t>Caixa</t>
  </si>
  <si>
    <t>EVOLVE FIDC NP MZ1</t>
  </si>
  <si>
    <t>AMADEUS FIDC MZ1</t>
  </si>
  <si>
    <t xml:space="preserve">Megeve </t>
  </si>
  <si>
    <t>OPHIR FIDC SENIOR</t>
  </si>
  <si>
    <t>LIMAJ</t>
  </si>
  <si>
    <t>LEVE</t>
  </si>
  <si>
    <t>ADGM</t>
  </si>
  <si>
    <t>CERUS</t>
  </si>
  <si>
    <t>MULTIPLIKE</t>
  </si>
  <si>
    <t>SG FIDC</t>
  </si>
  <si>
    <t>DISAM FIDC</t>
  </si>
  <si>
    <t>ARCESP SNR</t>
  </si>
  <si>
    <t>Consignado Militar</t>
  </si>
  <si>
    <t>ARCESP MEZ</t>
  </si>
  <si>
    <t>FIRMA FIDC SNR</t>
  </si>
  <si>
    <t>Guelt fundo caixa</t>
  </si>
  <si>
    <t>St. Moritz</t>
  </si>
  <si>
    <t>Forma de condomínio</t>
  </si>
  <si>
    <t>Administradora</t>
  </si>
  <si>
    <t>Gestora</t>
  </si>
  <si>
    <t>PDD</t>
  </si>
  <si>
    <t>Subordinação</t>
  </si>
  <si>
    <t>Sub Ponderada</t>
  </si>
  <si>
    <t>PDD Ponderada</t>
  </si>
  <si>
    <t>Fechado</t>
  </si>
  <si>
    <t>Singulare</t>
  </si>
  <si>
    <t>Multiplica</t>
  </si>
  <si>
    <t>AVANTI MB SR</t>
  </si>
  <si>
    <t>GAD FIDC SENIOR</t>
  </si>
  <si>
    <t>GO KENERSON MZ2</t>
  </si>
  <si>
    <t>GO KENERSON MZ3</t>
  </si>
  <si>
    <t>GO KENERSON SR3</t>
  </si>
  <si>
    <t>LIMAJ FIDC MEZANIN 1</t>
  </si>
  <si>
    <t>LIMAJ FIDC SENIOR 1</t>
  </si>
  <si>
    <t>MILK INVEST FIDC SR</t>
  </si>
  <si>
    <t>MILK INVEST MEZANINO</t>
  </si>
  <si>
    <t>MULTIAGRO FIDC MEZ</t>
  </si>
  <si>
    <t>MULTIPLICA FIDC MZ A</t>
  </si>
  <si>
    <t>MULTIPLIK FIDC MZ2</t>
  </si>
  <si>
    <t>MULTIPLIK FIDC MZ3</t>
  </si>
  <si>
    <t>MULTIPLIK FIDC SR3</t>
  </si>
  <si>
    <t>MULTIPLIK FIDC SR5</t>
  </si>
  <si>
    <t>MULTIPLIK FIDC SR6</t>
  </si>
  <si>
    <t>MULTIPLIK MZ4</t>
  </si>
  <si>
    <t>MULTIPLIK MZ5</t>
  </si>
  <si>
    <t>PETTRA FIDC MEZANINO</t>
  </si>
  <si>
    <t>PHENIX FIDC NP MEZA</t>
  </si>
  <si>
    <t>SOLDI INVEST FIDC MZ</t>
  </si>
  <si>
    <t>Aberto</t>
  </si>
  <si>
    <t>M8</t>
  </si>
  <si>
    <t>BMA</t>
  </si>
  <si>
    <t>TERCON</t>
  </si>
  <si>
    <t>GFM</t>
  </si>
  <si>
    <t>OURO PRETO</t>
  </si>
  <si>
    <t>ORRAM</t>
  </si>
  <si>
    <t>QUATA</t>
  </si>
  <si>
    <t>ARTESANAL</t>
  </si>
  <si>
    <t>APG</t>
  </si>
  <si>
    <t>VALOREM</t>
  </si>
  <si>
    <t>Artesanal</t>
  </si>
  <si>
    <t>Hemera</t>
  </si>
  <si>
    <t>Tercon</t>
  </si>
  <si>
    <t>Multiplike</t>
  </si>
  <si>
    <t>Solis</t>
  </si>
  <si>
    <t>Daycoval</t>
  </si>
  <si>
    <t>Orram</t>
  </si>
  <si>
    <t>Vortx</t>
  </si>
  <si>
    <t>Opea</t>
  </si>
  <si>
    <t>V8</t>
  </si>
  <si>
    <t>IOX II SNR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</si>
</sst>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Open Sans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center" vertical="top"/>
    </xf>
    <xf numFmtId="14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10" fontId="0" fillId="0" borderId="0" xfId="0" applyNumberFormat="1"/>
    <xf numFmtId="0" fontId="0" fillId="0" borderId="0" xfId="0" applyAlignment="1">
      <alignment horizontal="left" vertical="center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/>
    <xf numFmtId="10" fontId="0" fillId="0" borderId="0" xfId="1" applyNumberFormat="1" applyFont="1"/>
    <xf numFmtId="10" fontId="0" fillId="0" borderId="0" xfId="0" applyNumberFormat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droAugustoBernarde\Downloads\DASHBOARD%20SOLUT%20FIC%20FIDC.xlsx" TargetMode="External"/><Relationship Id="rId1" Type="http://schemas.openxmlformats.org/officeDocument/2006/relationships/externalLinkPath" Target="DASHBOARD%20SOLUT%20FIC%20FID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cro Info"/>
      <sheetName val="Macro Info"/>
      <sheetName val="Megeve"/>
      <sheetName val="Cash PLus"/>
    </sheetNames>
    <sheetDataSet>
      <sheetData sheetId="0"/>
      <sheetData sheetId="1">
        <row r="3">
          <cell r="F3">
            <v>0.73109999999999997</v>
          </cell>
          <cell r="G3">
            <v>0</v>
          </cell>
        </row>
        <row r="5">
          <cell r="F5">
            <v>0.46500000000000002</v>
          </cell>
          <cell r="G5">
            <v>1.4E-2</v>
          </cell>
        </row>
        <row r="6">
          <cell r="F6">
            <v>0.40379999999999999</v>
          </cell>
          <cell r="G6">
            <v>1E-4</v>
          </cell>
        </row>
        <row r="7">
          <cell r="F7">
            <v>0.4264</v>
          </cell>
          <cell r="G7">
            <v>0</v>
          </cell>
        </row>
        <row r="8">
          <cell r="F8">
            <v>0.40460000000000002</v>
          </cell>
          <cell r="G8">
            <v>2.7000000000000001E-3</v>
          </cell>
        </row>
        <row r="9">
          <cell r="F9">
            <v>0.3115</v>
          </cell>
          <cell r="G9">
            <v>6.4999999999999997E-3</v>
          </cell>
        </row>
        <row r="10">
          <cell r="D10">
            <v>0.31786850774816866</v>
          </cell>
        </row>
        <row r="12">
          <cell r="F12">
            <v>0.53549999999999998</v>
          </cell>
          <cell r="G12">
            <v>0</v>
          </cell>
        </row>
        <row r="13">
          <cell r="F13">
            <v>0.23100000000000001</v>
          </cell>
          <cell r="G13">
            <v>4.7000000000000002E-3</v>
          </cell>
        </row>
        <row r="14">
          <cell r="F14">
            <v>0.128</v>
          </cell>
          <cell r="G14">
            <v>4.7000000000000002E-3</v>
          </cell>
        </row>
        <row r="15">
          <cell r="F15">
            <v>0.34</v>
          </cell>
          <cell r="G15">
            <v>2.0500000000000001E-2</v>
          </cell>
        </row>
        <row r="16">
          <cell r="F16">
            <v>0.36880000000000002</v>
          </cell>
          <cell r="G16">
            <v>1.2699999999999999E-2</v>
          </cell>
        </row>
        <row r="17">
          <cell r="F17">
            <v>0.48</v>
          </cell>
          <cell r="G17">
            <v>3.3000000000000002E-2</v>
          </cell>
        </row>
      </sheetData>
      <sheetData sheetId="2">
        <row r="3">
          <cell r="B3" t="str">
            <v>MULTIPLIKE FIDC SENIOR</v>
          </cell>
          <cell r="G3">
            <v>9.1334125987378695E-2</v>
          </cell>
        </row>
        <row r="4">
          <cell r="B4" t="str">
            <v>GAVEA OPEN FIDC SENIOR</v>
          </cell>
          <cell r="G4">
            <v>7.359327740997218E-2</v>
          </cell>
        </row>
        <row r="5">
          <cell r="B5" t="str">
            <v>BMA FIDC SENIOR</v>
          </cell>
          <cell r="G5">
            <v>6.9452369455321419E-2</v>
          </cell>
        </row>
        <row r="6">
          <cell r="B6" t="str">
            <v>OPHIR FIDC SÊNIOR</v>
          </cell>
          <cell r="G6">
            <v>6.8705546240052831E-2</v>
          </cell>
        </row>
        <row r="7">
          <cell r="B7" t="str">
            <v>OXSS FIDC SÊNIOR</v>
          </cell>
          <cell r="G7">
            <v>6.3293848755279186E-2</v>
          </cell>
        </row>
        <row r="8">
          <cell r="B8" t="str">
            <v>GFM FIDC SENIOR</v>
          </cell>
          <cell r="G8">
            <v>6.2611145092259679E-2</v>
          </cell>
        </row>
        <row r="9">
          <cell r="B9" t="str">
            <v>RAIZES FIDC SENIOR</v>
          </cell>
          <cell r="G9">
            <v>5.4034294341342021E-2</v>
          </cell>
        </row>
        <row r="10">
          <cell r="B10" t="str">
            <v>SIFRA PLUS FIDC MULTISSEG</v>
          </cell>
          <cell r="G10">
            <v>5.2407511495173212E-2</v>
          </cell>
        </row>
        <row r="11">
          <cell r="B11" t="str">
            <v>UNIQUE AAA FIDC SENIOR</v>
          </cell>
          <cell r="G11">
            <v>4.7817913605788118E-2</v>
          </cell>
        </row>
        <row r="12">
          <cell r="B12" t="str">
            <v>ATF EXCLUSIVO FIDC SENIOR</v>
          </cell>
          <cell r="G12">
            <v>4.5058450971260766E-2</v>
          </cell>
        </row>
        <row r="13">
          <cell r="B13" t="str">
            <v>AUDAX FIDC SÊNIOR</v>
          </cell>
          <cell r="G13">
            <v>4.171710114189256E-2</v>
          </cell>
        </row>
        <row r="14">
          <cell r="B14" t="str">
            <v>MR FIDC SÊNIOR</v>
          </cell>
          <cell r="G14">
            <v>3.930097657681212E-2</v>
          </cell>
        </row>
        <row r="15">
          <cell r="B15" t="str">
            <v>VALECRED FIDC SENIOR</v>
          </cell>
          <cell r="G15">
            <v>3.8837163978810388E-2</v>
          </cell>
        </row>
        <row r="16">
          <cell r="B16" t="str">
            <v>MULTIPLIX FIDC SENIOR</v>
          </cell>
          <cell r="G16">
            <v>3.8268523840010817E-2</v>
          </cell>
        </row>
        <row r="17">
          <cell r="B17" t="str">
            <v>SIGMA CREDIT FIDC</v>
          </cell>
          <cell r="G17">
            <v>2.8376021380181232E-2</v>
          </cell>
        </row>
        <row r="18">
          <cell r="B18" t="str">
            <v>APG FIDC SENIOR</v>
          </cell>
          <cell r="G18">
            <v>2.5957804814317396E-2</v>
          </cell>
        </row>
        <row r="19">
          <cell r="B19" t="str">
            <v>BARCELONA FIDC SÊNIOR</v>
          </cell>
          <cell r="G19">
            <v>2.5934620409429676E-2</v>
          </cell>
        </row>
        <row r="20">
          <cell r="B20" t="str">
            <v>APPALOOSA FIDC</v>
          </cell>
          <cell r="G20">
            <v>2.2339726806820479E-2</v>
          </cell>
        </row>
        <row r="21">
          <cell r="B21" t="str">
            <v>VENTURA FIDC SENIOR</v>
          </cell>
          <cell r="G21">
            <v>1.6708960633913954E-2</v>
          </cell>
        </row>
        <row r="22">
          <cell r="B22" t="str">
            <v>RDF FIDC SR1</v>
          </cell>
          <cell r="G22">
            <v>5.8731028804751163E-3</v>
          </cell>
        </row>
      </sheetData>
      <sheetData sheetId="3">
        <row r="1">
          <cell r="A1">
            <v>45989</v>
          </cell>
        </row>
        <row r="2">
          <cell r="B2" t="str">
            <v>Posições</v>
          </cell>
          <cell r="C2" t="str">
            <v>%PL</v>
          </cell>
          <cell r="D2" t="str">
            <v>Classe</v>
          </cell>
          <cell r="E2" t="str">
            <v>Subordinação</v>
          </cell>
          <cell r="F2" t="str">
            <v>PDD</v>
          </cell>
          <cell r="G2" t="str">
            <v>Estratégia</v>
          </cell>
        </row>
        <row r="3">
          <cell r="B3" t="str">
            <v>AMADEUS FIDC MZ1</v>
          </cell>
          <cell r="C3">
            <v>2.9537398527330742E-4</v>
          </cell>
          <cell r="D3" t="str">
            <v>Mezanino</v>
          </cell>
          <cell r="E3">
            <v>0.26860395526406489</v>
          </cell>
          <cell r="F3">
            <v>0</v>
          </cell>
          <cell r="G3" t="str">
            <v>Corporativo</v>
          </cell>
        </row>
        <row r="4">
          <cell r="B4" t="str">
            <v>APOLLO II FIDCNP MZ1</v>
          </cell>
          <cell r="C4">
            <v>3.2648941500102911E-2</v>
          </cell>
          <cell r="D4" t="str">
            <v>Mezanino</v>
          </cell>
          <cell r="E4">
            <v>0.27500002229656201</v>
          </cell>
          <cell r="F4">
            <v>4.8383109999999997E-3</v>
          </cell>
          <cell r="G4" t="str">
            <v>Crédito Estruturado</v>
          </cell>
        </row>
        <row r="5">
          <cell r="B5" t="str">
            <v>AVANTI MB SR</v>
          </cell>
          <cell r="C5">
            <v>0.13226907966102469</v>
          </cell>
          <cell r="D5" t="str">
            <v>Sênior</v>
          </cell>
          <cell r="E5">
            <v>0.6027649469999955</v>
          </cell>
          <cell r="F5">
            <v>0</v>
          </cell>
          <cell r="G5" t="str">
            <v>Corporativo</v>
          </cell>
        </row>
        <row r="6">
          <cell r="B6" t="str">
            <v>EVOLVE FIDC NP MZ1</v>
          </cell>
          <cell r="C6">
            <v>9.8797327517689262E-4</v>
          </cell>
          <cell r="D6" t="str">
            <v>Mezanino</v>
          </cell>
          <cell r="E6">
            <v>0.40386736241035109</v>
          </cell>
          <cell r="F6">
            <v>0</v>
          </cell>
          <cell r="G6" t="str">
            <v>Corporativo</v>
          </cell>
        </row>
        <row r="7">
          <cell r="B7" t="str">
            <v>EXPLORER FIDC SR</v>
          </cell>
          <cell r="C7">
            <v>4.489442119304092E-2</v>
          </cell>
          <cell r="D7" t="str">
            <v>Sênior</v>
          </cell>
          <cell r="E7">
            <v>0.20522109390275789</v>
          </cell>
          <cell r="F7">
            <v>1.7817880000000001E-3</v>
          </cell>
          <cell r="G7" t="str">
            <v>Crédito Estruturado</v>
          </cell>
        </row>
        <row r="8">
          <cell r="B8" t="str">
            <v>GAD FIDC SENIOR</v>
          </cell>
          <cell r="C8">
            <v>3.7107568257376503E-2</v>
          </cell>
          <cell r="D8" t="str">
            <v>Sênior</v>
          </cell>
          <cell r="E8">
            <v>0.20522109390275789</v>
          </cell>
          <cell r="G8" t="str">
            <v>Multi/Multi</v>
          </cell>
        </row>
        <row r="9">
          <cell r="B9" t="str">
            <v>GO KENERSON MZ2</v>
          </cell>
          <cell r="C9">
            <v>4.2925279526022193E-3</v>
          </cell>
          <cell r="D9" t="str">
            <v>Mezanino</v>
          </cell>
          <cell r="E9">
            <v>7.1085744153704E-2</v>
          </cell>
          <cell r="F9">
            <v>7.9931664999999999E-2</v>
          </cell>
          <cell r="G9" t="str">
            <v>Corporativo</v>
          </cell>
        </row>
        <row r="10">
          <cell r="B10" t="str">
            <v>GO KENERSON MZ3</v>
          </cell>
          <cell r="C10">
            <v>1.7378552422690161E-4</v>
          </cell>
          <cell r="D10" t="str">
            <v>Mezanino</v>
          </cell>
          <cell r="E10">
            <v>7.1085744153704E-2</v>
          </cell>
          <cell r="F10">
            <v>7.9931664999999999E-2</v>
          </cell>
          <cell r="G10" t="str">
            <v>Corporativo</v>
          </cell>
        </row>
        <row r="11">
          <cell r="B11" t="str">
            <v>GO KENERSON SR3</v>
          </cell>
          <cell r="C11">
            <v>1.7229453897795219E-2</v>
          </cell>
          <cell r="D11" t="str">
            <v>Sênior</v>
          </cell>
          <cell r="E11">
            <v>0.53556565846491822</v>
          </cell>
          <cell r="F11">
            <v>7.9931664999999999E-2</v>
          </cell>
          <cell r="G11" t="str">
            <v>Corporativo</v>
          </cell>
        </row>
        <row r="12">
          <cell r="B12" t="str">
            <v>GV CASH RF DI LP FI</v>
          </cell>
          <cell r="C12">
            <v>9.5593536721983824E-5</v>
          </cell>
          <cell r="D12" t="str">
            <v>Caixa</v>
          </cell>
          <cell r="E12" t="str">
            <v>Não se aplica</v>
          </cell>
          <cell r="F12" t="str">
            <v>Não se aplica</v>
          </cell>
          <cell r="G12" t="str">
            <v>Caixa</v>
          </cell>
        </row>
        <row r="13">
          <cell r="B13" t="str">
            <v>LIMAJ FIDC MEZANIN 1</v>
          </cell>
          <cell r="C13">
            <v>7.4436988565455595E-2</v>
          </cell>
          <cell r="D13" t="str">
            <v>Mezanino</v>
          </cell>
          <cell r="E13">
            <v>0.46762994851890782</v>
          </cell>
          <cell r="F13">
            <v>0</v>
          </cell>
          <cell r="G13" t="str">
            <v>Corporativo</v>
          </cell>
        </row>
        <row r="14">
          <cell r="B14" t="str">
            <v>LIMAJ FIDC SENIOR 1</v>
          </cell>
          <cell r="C14">
            <v>5.9611557885440529E-2</v>
          </cell>
          <cell r="D14" t="str">
            <v>Sênior</v>
          </cell>
          <cell r="E14">
            <v>0.72670041212507164</v>
          </cell>
          <cell r="F14">
            <v>0</v>
          </cell>
          <cell r="G14" t="str">
            <v>Corporativo</v>
          </cell>
        </row>
        <row r="15">
          <cell r="B15" t="str">
            <v>MILK INVEST FIDC SR</v>
          </cell>
          <cell r="C15">
            <v>1.1341173232802331E-2</v>
          </cell>
          <cell r="D15" t="str">
            <v>Sênior</v>
          </cell>
          <cell r="E15">
            <v>0.49009298337515983</v>
          </cell>
          <cell r="F15">
            <v>5.5589999999999996E-6</v>
          </cell>
          <cell r="G15" t="str">
            <v>Corporativo</v>
          </cell>
        </row>
        <row r="16">
          <cell r="B16" t="str">
            <v>MILK INVEST MEZANINO</v>
          </cell>
          <cell r="C16">
            <v>6.3229862418838836E-2</v>
          </cell>
          <cell r="D16" t="str">
            <v>Mezanino</v>
          </cell>
          <cell r="E16">
            <v>0.18063454221020531</v>
          </cell>
          <cell r="F16">
            <v>5.5589999999999996E-6</v>
          </cell>
          <cell r="G16" t="str">
            <v>Corporativo</v>
          </cell>
        </row>
        <row r="17">
          <cell r="B17" t="str">
            <v>MULTIAGRO FIDC MEZ</v>
          </cell>
          <cell r="C17">
            <v>0.17101772455040101</v>
          </cell>
          <cell r="D17" t="str">
            <v>Mezanino</v>
          </cell>
          <cell r="E17">
            <v>0.34205325146973892</v>
          </cell>
          <cell r="F17">
            <v>1.4380739999999999E-3</v>
          </cell>
          <cell r="G17" t="str">
            <v>Agronegócio</v>
          </cell>
        </row>
        <row r="18">
          <cell r="B18" t="str">
            <v>MULTIPLICA FIDC MZ A</v>
          </cell>
          <cell r="C18">
            <v>5.4748698678216107E-2</v>
          </cell>
          <cell r="D18" t="str">
            <v>Mezanino</v>
          </cell>
          <cell r="E18">
            <v>0.2506562990097147</v>
          </cell>
          <cell r="F18">
            <v>2.5445799999999998E-3</v>
          </cell>
          <cell r="G18" t="str">
            <v>Multi/Multi</v>
          </cell>
        </row>
        <row r="19">
          <cell r="B19" t="str">
            <v>MULTIPLIK FIDC MZ2</v>
          </cell>
          <cell r="C19">
            <v>4.0074498466869952E-2</v>
          </cell>
          <cell r="D19" t="str">
            <v>Mezanino</v>
          </cell>
          <cell r="E19">
            <v>0.56285574058339982</v>
          </cell>
          <cell r="F19">
            <v>0</v>
          </cell>
          <cell r="G19" t="str">
            <v>Corporativo</v>
          </cell>
        </row>
        <row r="20">
          <cell r="B20" t="str">
            <v>MULTIPLIK FIDC MZ3</v>
          </cell>
          <cell r="C20">
            <v>1.5329551061920169E-3</v>
          </cell>
          <cell r="D20" t="str">
            <v>Mezanino</v>
          </cell>
          <cell r="E20">
            <v>0.56285574058339982</v>
          </cell>
          <cell r="F20">
            <v>0</v>
          </cell>
          <cell r="G20" t="str">
            <v>Corporativo</v>
          </cell>
        </row>
        <row r="21">
          <cell r="B21" t="str">
            <v>MULTIPLIK FIDC SR3</v>
          </cell>
          <cell r="C21">
            <v>3.4920260111312058E-3</v>
          </cell>
          <cell r="D21" t="str">
            <v>Sênior</v>
          </cell>
          <cell r="E21">
            <v>0.75567589038940663</v>
          </cell>
          <cell r="F21">
            <v>0</v>
          </cell>
          <cell r="G21" t="str">
            <v>Corporativo</v>
          </cell>
        </row>
        <row r="22">
          <cell r="B22" t="str">
            <v>MULTIPLIK FIDC SR5</v>
          </cell>
          <cell r="C22">
            <v>3.9887919468782418E-3</v>
          </cell>
          <cell r="D22" t="str">
            <v>Sênior</v>
          </cell>
          <cell r="E22">
            <v>0.75567589038940663</v>
          </cell>
          <cell r="F22">
            <v>0</v>
          </cell>
          <cell r="G22" t="str">
            <v>Corporativo</v>
          </cell>
        </row>
        <row r="23">
          <cell r="B23" t="str">
            <v>MULTIPLIK FIDC SR6</v>
          </cell>
          <cell r="C23">
            <v>3.6429647889809689E-3</v>
          </cell>
          <cell r="D23" t="str">
            <v>Sênior</v>
          </cell>
          <cell r="E23">
            <v>0.75567589038940663</v>
          </cell>
          <cell r="F23">
            <v>0</v>
          </cell>
          <cell r="G23" t="str">
            <v>Corporativo</v>
          </cell>
        </row>
        <row r="24">
          <cell r="B24" t="str">
            <v>MULTIPLIK MZ4</v>
          </cell>
          <cell r="C24">
            <v>2.039037882160543E-2</v>
          </cell>
          <cell r="D24" t="str">
            <v>Mezanino</v>
          </cell>
          <cell r="E24">
            <v>0.56285574058339982</v>
          </cell>
          <cell r="F24">
            <v>0</v>
          </cell>
          <cell r="G24" t="str">
            <v>Corporativo</v>
          </cell>
        </row>
        <row r="25">
          <cell r="B25" t="str">
            <v>MULTIPLIK MZ5</v>
          </cell>
          <cell r="C25">
            <v>2.8583853768296131E-2</v>
          </cell>
          <cell r="D25" t="str">
            <v>Mezanino</v>
          </cell>
          <cell r="E25">
            <v>0.56285574058339982</v>
          </cell>
          <cell r="F25">
            <v>0</v>
          </cell>
          <cell r="G25" t="str">
            <v>Corporativo</v>
          </cell>
        </row>
        <row r="26">
          <cell r="B26" t="str">
            <v>NAPOLI FIDC MZ</v>
          </cell>
          <cell r="C26">
            <v>3.1667296192215262E-2</v>
          </cell>
          <cell r="D26" t="str">
            <v>Mezanino</v>
          </cell>
          <cell r="E26">
            <v>0.36580446130878003</v>
          </cell>
          <cell r="F26">
            <v>0</v>
          </cell>
          <cell r="G26" t="str">
            <v>Corporativo</v>
          </cell>
        </row>
        <row r="27">
          <cell r="B27" t="str">
            <v>PETTRA FIDC MEZANINO</v>
          </cell>
          <cell r="C27">
            <v>2.149855497691236E-2</v>
          </cell>
          <cell r="D27" t="str">
            <v>Mezanino</v>
          </cell>
          <cell r="E27">
            <v>7.1577916686164797E-2</v>
          </cell>
          <cell r="F27">
            <v>0</v>
          </cell>
          <cell r="G27" t="str">
            <v>Corporativo</v>
          </cell>
        </row>
        <row r="28">
          <cell r="B28" t="str">
            <v>PHENIX FIDC NP MEZA</v>
          </cell>
          <cell r="C28">
            <v>3.17073999300619E-2</v>
          </cell>
          <cell r="D28" t="str">
            <v>Mezanino</v>
          </cell>
          <cell r="E28">
            <v>0.13050889633970711</v>
          </cell>
          <cell r="F28">
            <v>0</v>
          </cell>
          <cell r="G28" t="str">
            <v>Corporativo</v>
          </cell>
        </row>
        <row r="29">
          <cell r="B29" t="str">
            <v>SOLDI INVEST FIDC MZ</v>
          </cell>
          <cell r="C29">
            <v>0.10904055587636061</v>
          </cell>
          <cell r="D29" t="str">
            <v>Mezanino</v>
          </cell>
          <cell r="E29">
            <v>0.44290166089531341</v>
          </cell>
          <cell r="F29">
            <v>0</v>
          </cell>
          <cell r="G29" t="str">
            <v>Corporativo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CBCA-D58C-4091-8A39-E6B7FC1655BB}">
  <dimension ref="A1:P64"/>
  <sheetViews>
    <sheetView tabSelected="1" workbookViewId="0">
      <selection sqref="A1:P64"/>
    </sheetView>
  </sheetViews>
  <sheetFormatPr defaultRowHeight="15" x14ac:dyDescent="0.25"/>
  <cols>
    <col min="1" max="1" width="13.140625" bestFit="1" customWidth="1"/>
    <col min="2" max="2" width="26.140625" bestFit="1" customWidth="1"/>
    <col min="3" max="3" width="10" bestFit="1" customWidth="1"/>
    <col min="4" max="4" width="9.5703125" bestFit="1" customWidth="1"/>
    <col min="5" max="5" width="18" bestFit="1" customWidth="1"/>
    <col min="6" max="6" width="8.140625" bestFit="1" customWidth="1"/>
    <col min="7" max="7" width="9.28515625" bestFit="1" customWidth="1"/>
    <col min="8" max="8" width="9.140625" bestFit="1" customWidth="1"/>
    <col min="9" max="9" width="10.14062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7" t="s">
        <v>43</v>
      </c>
      <c r="P1" s="7" t="s">
        <v>44</v>
      </c>
    </row>
    <row r="2" spans="1:16" ht="15.75" x14ac:dyDescent="0.3">
      <c r="A2" s="2">
        <f>'[1]Cash PLus'!$A$1</f>
        <v>45989</v>
      </c>
      <c r="B2" s="8" t="s">
        <v>22</v>
      </c>
      <c r="C2" t="s">
        <v>9</v>
      </c>
      <c r="D2" t="str">
        <f>IFERROR(_xlfn.XLOOKUP(B2,'[1]Cash PLus'!$B:$B,'[1]Cash PLus'!$D:$D,""),_xlfn.XLOOKUP("*"&amp;B2&amp;"*",'[1]Cash PLus'!$B:$B,'[1]Cash PLus'!$D:$D,"",2))</f>
        <v>Mezanino</v>
      </c>
      <c r="E2" t="s">
        <v>45</v>
      </c>
      <c r="F2" t="s">
        <v>46</v>
      </c>
      <c r="G2" t="s">
        <v>47</v>
      </c>
      <c r="H2" s="9">
        <f>IFERROR(_xlfn.XLOOKUP(B2,'[1]Cash PLus'!$B:$B,'[1]Cash PLus'!$F:$F,""),_xlfn.XLOOKUP("*"&amp;B2&amp;"*",'[1]Cash PLus'!$B:$B,'[1]Cash PLus'!$F:$F,"",2))</f>
        <v>0</v>
      </c>
      <c r="I2" s="9">
        <f>IFERROR(_xlfn.XLOOKUP(B2,'[1]Cash PLus'!$B:$B,'[1]Cash PLus'!$E:$E,""),_xlfn.XLOOKUP("*"&amp;B2&amp;"*",'[1]Cash PLus'!$B:$B,'[1]Cash PLus'!$E:$E,"",2))</f>
        <v>0.26860395526406489</v>
      </c>
      <c r="J2" t="str">
        <f>IFERROR(_xlfn.XLOOKUP(B2,'[1]Cash PLus'!$B:$B,'[1]Cash PLus'!$G:$G,""),_xlfn.XLOOKUP("*"&amp;B2&amp;"*",'[1]Cash PLus'!$B:$B,'[1]Cash PLus'!$G:$G,"",2))</f>
        <v>Corporativo</v>
      </c>
      <c r="K2" s="4">
        <f>_xlfn.XLOOKUP(B2,'[1]Cash PLus'!$B:$B,'[1]Cash PLus'!$C:$C,"")</f>
        <v>2.9537398527330742E-4</v>
      </c>
      <c r="L2" t="s">
        <v>11</v>
      </c>
      <c r="M2" s="5">
        <f>'[1]Macro Info'!$D$10</f>
        <v>0.31786850774816866</v>
      </c>
      <c r="N2" s="5">
        <f t="shared" ref="N2:N48" si="0">K2*M2</f>
        <v>9.3890087926455773E-5</v>
      </c>
      <c r="O2" s="5">
        <f>I2*N2</f>
        <v>2.5219248977136844E-5</v>
      </c>
      <c r="P2" s="5">
        <f>H2*N2</f>
        <v>0</v>
      </c>
    </row>
    <row r="3" spans="1:16" ht="15.75" x14ac:dyDescent="0.3">
      <c r="A3" s="2">
        <f>'[1]Cash PLus'!$A$1</f>
        <v>45989</v>
      </c>
      <c r="B3" s="8" t="s">
        <v>15</v>
      </c>
      <c r="C3" t="s">
        <v>9</v>
      </c>
      <c r="D3" t="str">
        <f>IFERROR(_xlfn.XLOOKUP(B3,'[1]Cash PLus'!$B:$B,'[1]Cash PLus'!$D:$D,""),_xlfn.XLOOKUP("*"&amp;B3&amp;"*",'[1]Cash PLus'!$B:$B,'[1]Cash PLus'!$D:$D,"",2))</f>
        <v>Mezanino</v>
      </c>
      <c r="E3" t="s">
        <v>45</v>
      </c>
      <c r="F3" t="s">
        <v>46</v>
      </c>
      <c r="G3" t="s">
        <v>47</v>
      </c>
      <c r="H3" s="9">
        <f>IFERROR(_xlfn.XLOOKUP(B3,'[1]Cash PLus'!$B:$B,'[1]Cash PLus'!$F:$F,""),_xlfn.XLOOKUP("*"&amp;B3&amp;"*",'[1]Cash PLus'!$B:$B,'[1]Cash PLus'!$F:$F,"",2))</f>
        <v>4.8383109999999997E-3</v>
      </c>
      <c r="I3" s="9">
        <f>IFERROR(_xlfn.XLOOKUP(B3,'[1]Cash PLus'!$B:$B,'[1]Cash PLus'!$E:$E,""),_xlfn.XLOOKUP("*"&amp;B3&amp;"*",'[1]Cash PLus'!$B:$B,'[1]Cash PLus'!$E:$E,"",2))</f>
        <v>0.27500002229656201</v>
      </c>
      <c r="J3" t="str">
        <f>IFERROR(_xlfn.XLOOKUP(B3,'[1]Cash PLus'!$B:$B,'[1]Cash PLus'!$G:$G,""),_xlfn.XLOOKUP("*"&amp;B3&amp;"*",'[1]Cash PLus'!$B:$B,'[1]Cash PLus'!$G:$G,"",2))</f>
        <v>Crédito Estruturado</v>
      </c>
      <c r="K3" s="4">
        <f>_xlfn.XLOOKUP(B3,'[1]Cash PLus'!$B:$B,'[1]Cash PLus'!$C:$C,"")</f>
        <v>3.2648941500102911E-2</v>
      </c>
      <c r="L3" t="s">
        <v>11</v>
      </c>
      <c r="M3" s="5">
        <f>'[1]Macro Info'!$D$10</f>
        <v>0.31786850774816866</v>
      </c>
      <c r="N3" s="5">
        <f t="shared" si="0"/>
        <v>1.0378070314194968E-2</v>
      </c>
      <c r="O3" s="5">
        <f t="shared" ref="O3:O63" si="1">I3*N3</f>
        <v>2.8539695677989047E-3</v>
      </c>
      <c r="P3" s="5">
        <f t="shared" ref="P3:P63" si="2">H3*N3</f>
        <v>5.021233175994297E-5</v>
      </c>
    </row>
    <row r="4" spans="1:16" ht="15.75" x14ac:dyDescent="0.3">
      <c r="A4" s="2">
        <f>'[1]Cash PLus'!$A$1</f>
        <v>45989</v>
      </c>
      <c r="B4" s="8" t="s">
        <v>48</v>
      </c>
      <c r="C4" t="s">
        <v>9</v>
      </c>
      <c r="D4" t="str">
        <f>IFERROR(_xlfn.XLOOKUP(B4,'[1]Cash PLus'!$B:$B,'[1]Cash PLus'!$D:$D,""),_xlfn.XLOOKUP("*"&amp;B4&amp;"*",'[1]Cash PLus'!$B:$B,'[1]Cash PLus'!$D:$D,"",2))</f>
        <v>Sênior</v>
      </c>
      <c r="E4" t="s">
        <v>45</v>
      </c>
      <c r="F4" t="s">
        <v>46</v>
      </c>
      <c r="G4" t="s">
        <v>47</v>
      </c>
      <c r="H4" s="9">
        <f>IFERROR(_xlfn.XLOOKUP(B4,'[1]Cash PLus'!$B:$B,'[1]Cash PLus'!$F:$F,""),_xlfn.XLOOKUP("*"&amp;B4&amp;"*",'[1]Cash PLus'!$B:$B,'[1]Cash PLus'!$F:$F,"",2))</f>
        <v>0</v>
      </c>
      <c r="I4" s="9">
        <f>IFERROR(_xlfn.XLOOKUP(B4,'[1]Cash PLus'!$B:$B,'[1]Cash PLus'!$E:$E,""),_xlfn.XLOOKUP("*"&amp;B4&amp;"*",'[1]Cash PLus'!$B:$B,'[1]Cash PLus'!$E:$E,"",2))</f>
        <v>0.6027649469999955</v>
      </c>
      <c r="J4" t="str">
        <f>IFERROR(_xlfn.XLOOKUP(B4,'[1]Cash PLus'!$B:$B,'[1]Cash PLus'!$G:$G,""),_xlfn.XLOOKUP("*"&amp;B4&amp;"*",'[1]Cash PLus'!$B:$B,'[1]Cash PLus'!$G:$G,"",2))</f>
        <v>Corporativo</v>
      </c>
      <c r="K4" s="4">
        <f>_xlfn.XLOOKUP(B4,'[1]Cash PLus'!$B:$B,'[1]Cash PLus'!$C:$C,"")</f>
        <v>0.13226907966102469</v>
      </c>
      <c r="L4" t="s">
        <v>11</v>
      </c>
      <c r="M4" s="5">
        <f>'[1]Macro Info'!$D$10</f>
        <v>0.31786850774816866</v>
      </c>
      <c r="N4" s="5">
        <f t="shared" si="0"/>
        <v>4.2044174973073563E-2</v>
      </c>
      <c r="O4" s="5">
        <f>I4*N4</f>
        <v>2.5342754899303224E-2</v>
      </c>
      <c r="P4" s="5">
        <f t="shared" si="2"/>
        <v>0</v>
      </c>
    </row>
    <row r="5" spans="1:16" ht="15.75" x14ac:dyDescent="0.3">
      <c r="A5" s="2">
        <f>'[1]Cash PLus'!$A$1</f>
        <v>45989</v>
      </c>
      <c r="B5" s="8" t="s">
        <v>21</v>
      </c>
      <c r="C5" t="s">
        <v>9</v>
      </c>
      <c r="D5" t="str">
        <f>IFERROR(_xlfn.XLOOKUP(B5,'[1]Cash PLus'!$B:$B,'[1]Cash PLus'!$D:$D,""),_xlfn.XLOOKUP("*"&amp;B5&amp;"*",'[1]Cash PLus'!$B:$B,'[1]Cash PLus'!$D:$D,"",2))</f>
        <v>Mezanino</v>
      </c>
      <c r="E5" t="s">
        <v>45</v>
      </c>
      <c r="F5" t="s">
        <v>46</v>
      </c>
      <c r="G5" t="s">
        <v>47</v>
      </c>
      <c r="H5" s="9">
        <f>IFERROR(_xlfn.XLOOKUP(B5,'[1]Cash PLus'!$B:$B,'[1]Cash PLus'!$F:$F,""),_xlfn.XLOOKUP("*"&amp;B5&amp;"*",'[1]Cash PLus'!$B:$B,'[1]Cash PLus'!$F:$F,"",2))</f>
        <v>0</v>
      </c>
      <c r="I5" s="9">
        <f>IFERROR(_xlfn.XLOOKUP(B5,'[1]Cash PLus'!$B:$B,'[1]Cash PLus'!$E:$E,""),_xlfn.XLOOKUP("*"&amp;B5&amp;"*",'[1]Cash PLus'!$B:$B,'[1]Cash PLus'!$E:$E,"",2))</f>
        <v>0.40386736241035109</v>
      </c>
      <c r="J5" t="str">
        <f>IFERROR(_xlfn.XLOOKUP(B5,'[1]Cash PLus'!$B:$B,'[1]Cash PLus'!$G:$G,""),_xlfn.XLOOKUP("*"&amp;B5&amp;"*",'[1]Cash PLus'!$B:$B,'[1]Cash PLus'!$G:$G,"",2))</f>
        <v>Corporativo</v>
      </c>
      <c r="K5" s="4">
        <f>_xlfn.XLOOKUP(B5,'[1]Cash PLus'!$B:$B,'[1]Cash PLus'!$C:$C,"")</f>
        <v>9.8797327517689262E-4</v>
      </c>
      <c r="L5" t="s">
        <v>11</v>
      </c>
      <c r="M5" s="5">
        <f>'[1]Macro Info'!$D$10</f>
        <v>0.31786850774816866</v>
      </c>
      <c r="N5" s="5">
        <f t="shared" si="0"/>
        <v>3.1404559067554964E-4</v>
      </c>
      <c r="O5" s="5">
        <f t="shared" si="1"/>
        <v>1.2683276438273499E-4</v>
      </c>
      <c r="P5" s="5">
        <f t="shared" si="2"/>
        <v>0</v>
      </c>
    </row>
    <row r="6" spans="1:16" ht="15.75" x14ac:dyDescent="0.3">
      <c r="A6" s="2">
        <f>'[1]Cash PLus'!$A$1</f>
        <v>45989</v>
      </c>
      <c r="B6" s="8" t="s">
        <v>14</v>
      </c>
      <c r="C6" t="s">
        <v>9</v>
      </c>
      <c r="D6" t="str">
        <f>IFERROR(_xlfn.XLOOKUP(B6,'[1]Cash PLus'!$B:$B,'[1]Cash PLus'!$D:$D,""),_xlfn.XLOOKUP("*"&amp;B6&amp;"*",'[1]Cash PLus'!$B:$B,'[1]Cash PLus'!$D:$D,"",2))</f>
        <v>Sênior</v>
      </c>
      <c r="E6" t="s">
        <v>45</v>
      </c>
      <c r="F6" t="s">
        <v>46</v>
      </c>
      <c r="G6" t="s">
        <v>47</v>
      </c>
      <c r="H6" s="9">
        <f>IFERROR(_xlfn.XLOOKUP(B6,'[1]Cash PLus'!$B:$B,'[1]Cash PLus'!$F:$F,""),_xlfn.XLOOKUP("*"&amp;B6&amp;"*",'[1]Cash PLus'!$B:$B,'[1]Cash PLus'!$F:$F,"",2))</f>
        <v>1.7817880000000001E-3</v>
      </c>
      <c r="I6" s="9">
        <f>IFERROR(_xlfn.XLOOKUP(B6,'[1]Cash PLus'!$B:$B,'[1]Cash PLus'!$E:$E,""),_xlfn.XLOOKUP("*"&amp;B6&amp;"*",'[1]Cash PLus'!$B:$B,'[1]Cash PLus'!$E:$E,"",2))</f>
        <v>0.20522109390275789</v>
      </c>
      <c r="J6" t="str">
        <f>IFERROR(_xlfn.XLOOKUP(B6,'[1]Cash PLus'!$B:$B,'[1]Cash PLus'!$G:$G,""),_xlfn.XLOOKUP("*"&amp;B6&amp;"*",'[1]Cash PLus'!$B:$B,'[1]Cash PLus'!$G:$G,"",2))</f>
        <v>Crédito Estruturado</v>
      </c>
      <c r="K6" s="4">
        <f>_xlfn.XLOOKUP(B6,'[1]Cash PLus'!$B:$B,'[1]Cash PLus'!$C:$C,"")</f>
        <v>4.489442119304092E-2</v>
      </c>
      <c r="L6" t="s">
        <v>11</v>
      </c>
      <c r="M6" s="5">
        <f>'[1]Macro Info'!$D$10</f>
        <v>0.31786850774816866</v>
      </c>
      <c r="N6" s="5">
        <f t="shared" si="0"/>
        <v>1.4270522670849675E-2</v>
      </c>
      <c r="O6" s="5">
        <f t="shared" si="1"/>
        <v>2.9286122730758767E-3</v>
      </c>
      <c r="P6" s="5">
        <f t="shared" si="2"/>
        <v>2.5427046048647902E-5</v>
      </c>
    </row>
    <row r="7" spans="1:16" ht="15.75" x14ac:dyDescent="0.3">
      <c r="A7" s="2">
        <f>'[1]Cash PLus'!$A$1</f>
        <v>45989</v>
      </c>
      <c r="B7" s="8" t="s">
        <v>49</v>
      </c>
      <c r="C7" t="s">
        <v>9</v>
      </c>
      <c r="D7" t="str">
        <f>IFERROR(_xlfn.XLOOKUP(B7,'[1]Cash PLus'!$B:$B,'[1]Cash PLus'!$D:$D,""),_xlfn.XLOOKUP("*"&amp;B7&amp;"*",'[1]Cash PLus'!$B:$B,'[1]Cash PLus'!$D:$D,"",2))</f>
        <v>Sênior</v>
      </c>
      <c r="E7" t="s">
        <v>45</v>
      </c>
      <c r="F7" t="s">
        <v>46</v>
      </c>
      <c r="G7" t="s">
        <v>47</v>
      </c>
      <c r="H7" s="9">
        <f>IFERROR(_xlfn.XLOOKUP(B7,'[1]Cash PLus'!$B:$B,'[1]Cash PLus'!$F:$F,""),_xlfn.XLOOKUP("*"&amp;B7&amp;"*",'[1]Cash PLus'!$B:$B,'[1]Cash PLus'!$F:$F,"",2))</f>
        <v>0</v>
      </c>
      <c r="I7" s="9">
        <f>IFERROR(_xlfn.XLOOKUP(B7,'[1]Cash PLus'!$B:$B,'[1]Cash PLus'!$E:$E,""),_xlfn.XLOOKUP("*"&amp;B7&amp;"*",'[1]Cash PLus'!$B:$B,'[1]Cash PLus'!$E:$E,"",2))</f>
        <v>0.20522109390275789</v>
      </c>
      <c r="J7" t="str">
        <f>IFERROR(_xlfn.XLOOKUP(B7,'[1]Cash PLus'!$B:$B,'[1]Cash PLus'!$G:$G,""),_xlfn.XLOOKUP("*"&amp;B7&amp;"*",'[1]Cash PLus'!$B:$B,'[1]Cash PLus'!$G:$G,"",2))</f>
        <v>Multi/Multi</v>
      </c>
      <c r="K7" s="4">
        <f>_xlfn.XLOOKUP(B7,'[1]Cash PLus'!$B:$B,'[1]Cash PLus'!$C:$C,"")</f>
        <v>3.7107568257376503E-2</v>
      </c>
      <c r="L7" t="s">
        <v>11</v>
      </c>
      <c r="M7" s="5">
        <f>'[1]Macro Info'!$D$10</f>
        <v>0.31786850774816866</v>
      </c>
      <c r="N7" s="5">
        <f t="shared" si="0"/>
        <v>1.1795327348135581E-2</v>
      </c>
      <c r="O7" s="5">
        <f t="shared" si="1"/>
        <v>2.4206499813255E-3</v>
      </c>
      <c r="P7" s="5">
        <f t="shared" si="2"/>
        <v>0</v>
      </c>
    </row>
    <row r="8" spans="1:16" ht="15.75" x14ac:dyDescent="0.3">
      <c r="A8" s="2">
        <f>'[1]Cash PLus'!$A$1</f>
        <v>45989</v>
      </c>
      <c r="B8" s="8" t="s">
        <v>50</v>
      </c>
      <c r="C8" t="s">
        <v>9</v>
      </c>
      <c r="D8" t="str">
        <f>IFERROR(_xlfn.XLOOKUP(B8,'[1]Cash PLus'!$B:$B,'[1]Cash PLus'!$D:$D,""),_xlfn.XLOOKUP("*"&amp;B8&amp;"*",'[1]Cash PLus'!$B:$B,'[1]Cash PLus'!$D:$D,"",2))</f>
        <v>Mezanino</v>
      </c>
      <c r="E8" t="s">
        <v>45</v>
      </c>
      <c r="F8" t="s">
        <v>46</v>
      </c>
      <c r="G8" t="s">
        <v>47</v>
      </c>
      <c r="H8" s="9">
        <f>IFERROR(_xlfn.XLOOKUP(B8,'[1]Cash PLus'!$B:$B,'[1]Cash PLus'!$F:$F,""),_xlfn.XLOOKUP("*"&amp;B8&amp;"*",'[1]Cash PLus'!$B:$B,'[1]Cash PLus'!$F:$F,"",2))</f>
        <v>7.9931664999999999E-2</v>
      </c>
      <c r="I8" s="9">
        <f>IFERROR(_xlfn.XLOOKUP(B8,'[1]Cash PLus'!$B:$B,'[1]Cash PLus'!$E:$E,""),_xlfn.XLOOKUP("*"&amp;B8&amp;"*",'[1]Cash PLus'!$B:$B,'[1]Cash PLus'!$E:$E,"",2))</f>
        <v>7.1085744153704E-2</v>
      </c>
      <c r="J8" t="str">
        <f>IFERROR(_xlfn.XLOOKUP(B8,'[1]Cash PLus'!$B:$B,'[1]Cash PLus'!$G:$G,""),_xlfn.XLOOKUP("*"&amp;B8&amp;"*",'[1]Cash PLus'!$B:$B,'[1]Cash PLus'!$G:$G,"",2))</f>
        <v>Corporativo</v>
      </c>
      <c r="K8" s="4">
        <f>_xlfn.XLOOKUP(B8,'[1]Cash PLus'!$B:$B,'[1]Cash PLus'!$C:$C,"")</f>
        <v>4.2925279526022193E-3</v>
      </c>
      <c r="L8" t="s">
        <v>11</v>
      </c>
      <c r="M8" s="5">
        <f>'[1]Macro Info'!$D$10</f>
        <v>0.31786850774816866</v>
      </c>
      <c r="N8" s="5">
        <f t="shared" si="0"/>
        <v>1.3644594547609691E-3</v>
      </c>
      <c r="O8" s="5">
        <f t="shared" si="1"/>
        <v>9.6993615709240697E-5</v>
      </c>
      <c r="P8" s="5">
        <f t="shared" si="2"/>
        <v>1.0906351604403644E-4</v>
      </c>
    </row>
    <row r="9" spans="1:16" ht="15.75" x14ac:dyDescent="0.3">
      <c r="A9" s="2">
        <f>'[1]Cash PLus'!$A$1</f>
        <v>45989</v>
      </c>
      <c r="B9" s="8" t="s">
        <v>51</v>
      </c>
      <c r="C9" t="s">
        <v>9</v>
      </c>
      <c r="D9" t="str">
        <f>IFERROR(_xlfn.XLOOKUP(B9,'[1]Cash PLus'!$B:$B,'[1]Cash PLus'!$D:$D,""),_xlfn.XLOOKUP("*"&amp;B9&amp;"*",'[1]Cash PLus'!$B:$B,'[1]Cash PLus'!$D:$D,"",2))</f>
        <v>Mezanino</v>
      </c>
      <c r="E9" t="s">
        <v>45</v>
      </c>
      <c r="F9" t="s">
        <v>46</v>
      </c>
      <c r="G9" t="s">
        <v>47</v>
      </c>
      <c r="H9" s="9">
        <f>IFERROR(_xlfn.XLOOKUP(B9,'[1]Cash PLus'!$B:$B,'[1]Cash PLus'!$F:$F,""),_xlfn.XLOOKUP("*"&amp;B9&amp;"*",'[1]Cash PLus'!$B:$B,'[1]Cash PLus'!$F:$F,"",2))</f>
        <v>7.9931664999999999E-2</v>
      </c>
      <c r="I9" s="9">
        <f>IFERROR(_xlfn.XLOOKUP(B9,'[1]Cash PLus'!$B:$B,'[1]Cash PLus'!$E:$E,""),_xlfn.XLOOKUP("*"&amp;B9&amp;"*",'[1]Cash PLus'!$B:$B,'[1]Cash PLus'!$E:$E,"",2))</f>
        <v>7.1085744153704E-2</v>
      </c>
      <c r="J9" t="str">
        <f>IFERROR(_xlfn.XLOOKUP(B9,'[1]Cash PLus'!$B:$B,'[1]Cash PLus'!$G:$G,""),_xlfn.XLOOKUP("*"&amp;B9&amp;"*",'[1]Cash PLus'!$B:$B,'[1]Cash PLus'!$G:$G,"",2))</f>
        <v>Corporativo</v>
      </c>
      <c r="K9" s="4">
        <f>_xlfn.XLOOKUP(B9,'[1]Cash PLus'!$B:$B,'[1]Cash PLus'!$C:$C,"")</f>
        <v>1.7378552422690161E-4</v>
      </c>
      <c r="L9" t="s">
        <v>11</v>
      </c>
      <c r="M9" s="5">
        <f>'[1]Macro Info'!$D$10</f>
        <v>0.31786850774816866</v>
      </c>
      <c r="N9" s="5">
        <f t="shared" si="0"/>
        <v>5.5240945254238428E-5</v>
      </c>
      <c r="O9" s="5">
        <f t="shared" si="1"/>
        <v>3.9268437011515624E-6</v>
      </c>
      <c r="P9" s="5">
        <f t="shared" si="2"/>
        <v>4.4155007303451255E-6</v>
      </c>
    </row>
    <row r="10" spans="1:16" ht="15.75" x14ac:dyDescent="0.3">
      <c r="A10" s="2">
        <f>'[1]Cash PLus'!$A$1</f>
        <v>45989</v>
      </c>
      <c r="B10" s="8" t="s">
        <v>52</v>
      </c>
      <c r="C10" t="s">
        <v>9</v>
      </c>
      <c r="D10" t="str">
        <f>IFERROR(_xlfn.XLOOKUP(B10,'[1]Cash PLus'!$B:$B,'[1]Cash PLus'!$D:$D,""),_xlfn.XLOOKUP("*"&amp;B10&amp;"*",'[1]Cash PLus'!$B:$B,'[1]Cash PLus'!$D:$D,"",2))</f>
        <v>Sênior</v>
      </c>
      <c r="E10" t="s">
        <v>45</v>
      </c>
      <c r="F10" t="s">
        <v>46</v>
      </c>
      <c r="G10" t="s">
        <v>47</v>
      </c>
      <c r="H10" s="9">
        <f>IFERROR(_xlfn.XLOOKUP(B10,'[1]Cash PLus'!$B:$B,'[1]Cash PLus'!$F:$F,""),_xlfn.XLOOKUP("*"&amp;B10&amp;"*",'[1]Cash PLus'!$B:$B,'[1]Cash PLus'!$F:$F,"",2))</f>
        <v>7.9931664999999999E-2</v>
      </c>
      <c r="I10" s="9">
        <f>IFERROR(_xlfn.XLOOKUP(B10,'[1]Cash PLus'!$B:$B,'[1]Cash PLus'!$E:$E,""),_xlfn.XLOOKUP("*"&amp;B10&amp;"*",'[1]Cash PLus'!$B:$B,'[1]Cash PLus'!$E:$E,"",2))</f>
        <v>0.53556565846491822</v>
      </c>
      <c r="J10" t="str">
        <f>IFERROR(_xlfn.XLOOKUP(B10,'[1]Cash PLus'!$B:$B,'[1]Cash PLus'!$G:$G,""),_xlfn.XLOOKUP("*"&amp;B10&amp;"*",'[1]Cash PLus'!$B:$B,'[1]Cash PLus'!$G:$G,"",2))</f>
        <v>Corporativo</v>
      </c>
      <c r="K10" s="4">
        <f>_xlfn.XLOOKUP(B10,'[1]Cash PLus'!$B:$B,'[1]Cash PLus'!$C:$C,"")</f>
        <v>1.7229453897795219E-2</v>
      </c>
      <c r="L10" t="s">
        <v>11</v>
      </c>
      <c r="M10" s="5">
        <f>'[1]Macro Info'!$D$10</f>
        <v>0.31786850774816866</v>
      </c>
      <c r="N10" s="5">
        <f t="shared" si="0"/>
        <v>5.4767007998080342E-3</v>
      </c>
      <c r="O10" s="5">
        <f t="shared" si="1"/>
        <v>2.9331328700645341E-3</v>
      </c>
      <c r="P10" s="5">
        <f t="shared" si="2"/>
        <v>4.3776181363548787E-4</v>
      </c>
    </row>
    <row r="11" spans="1:16" ht="15.75" x14ac:dyDescent="0.3">
      <c r="A11" s="2">
        <f>'[1]Cash PLus'!$A$1</f>
        <v>45989</v>
      </c>
      <c r="B11" s="8" t="s">
        <v>18</v>
      </c>
      <c r="C11" t="s">
        <v>19</v>
      </c>
      <c r="D11" t="str">
        <f>IFERROR(_xlfn.XLOOKUP(B11,'[1]Cash PLus'!$B:$B,'[1]Cash PLus'!$D:$D,""),_xlfn.XLOOKUP("*"&amp;B11&amp;"*",'[1]Cash PLus'!$B:$B,'[1]Cash PLus'!$D:$D,"",2))</f>
        <v>Caixa</v>
      </c>
      <c r="E11" t="s">
        <v>45</v>
      </c>
      <c r="F11" t="s">
        <v>46</v>
      </c>
      <c r="G11" t="s">
        <v>47</v>
      </c>
      <c r="H11" s="9" t="str">
        <f>IFERROR(_xlfn.XLOOKUP(B11,'[1]Cash PLus'!$B:$B,'[1]Cash PLus'!$F:$F,""),_xlfn.XLOOKUP("*"&amp;B11&amp;"*",'[1]Cash PLus'!$B:$B,'[1]Cash PLus'!$F:$F,"",2))</f>
        <v>Não se aplica</v>
      </c>
      <c r="I11" s="9" t="str">
        <f>IFERROR(_xlfn.XLOOKUP(B11,'[1]Cash PLus'!$B:$B,'[1]Cash PLus'!$E:$E,""),_xlfn.XLOOKUP("*"&amp;B11&amp;"*",'[1]Cash PLus'!$B:$B,'[1]Cash PLus'!$E:$E,"",2))</f>
        <v>Não se aplica</v>
      </c>
      <c r="J11" t="str">
        <f>IFERROR(_xlfn.XLOOKUP(B11,'[1]Cash PLus'!$B:$B,'[1]Cash PLus'!$G:$G,""),_xlfn.XLOOKUP("*"&amp;B11&amp;"*",'[1]Cash PLus'!$B:$B,'[1]Cash PLus'!$G:$G,"",2))</f>
        <v>Caixa</v>
      </c>
      <c r="K11" s="4">
        <f>_xlfn.XLOOKUP(B11,'[1]Cash PLus'!$B:$B,'[1]Cash PLus'!$C:$C,"")</f>
        <v>9.5593536721983824E-5</v>
      </c>
      <c r="L11" t="s">
        <v>11</v>
      </c>
      <c r="M11" s="5">
        <f>'[1]Macro Info'!$D$10</f>
        <v>0.31786850774816866</v>
      </c>
      <c r="N11" s="5">
        <f t="shared" si="0"/>
        <v>3.0386174868186761E-5</v>
      </c>
      <c r="O11" s="5">
        <v>0</v>
      </c>
      <c r="P11" s="5">
        <v>0</v>
      </c>
    </row>
    <row r="12" spans="1:16" ht="15.75" x14ac:dyDescent="0.3">
      <c r="A12" s="2">
        <f>'[1]Cash PLus'!$A$1</f>
        <v>45989</v>
      </c>
      <c r="B12" s="8" t="s">
        <v>53</v>
      </c>
      <c r="C12" t="s">
        <v>9</v>
      </c>
      <c r="D12" t="str">
        <f>IFERROR(_xlfn.XLOOKUP(B12,'[1]Cash PLus'!$B:$B,'[1]Cash PLus'!$D:$D,""),_xlfn.XLOOKUP("*"&amp;B12&amp;"*",'[1]Cash PLus'!$B:$B,'[1]Cash PLus'!$D:$D,"",2))</f>
        <v>Mezanino</v>
      </c>
      <c r="E12" t="s">
        <v>45</v>
      </c>
      <c r="F12" t="s">
        <v>46</v>
      </c>
      <c r="G12" t="s">
        <v>47</v>
      </c>
      <c r="H12" s="9">
        <f>IFERROR(_xlfn.XLOOKUP(B12,'[1]Cash PLus'!$B:$B,'[1]Cash PLus'!$F:$F,""),_xlfn.XLOOKUP("*"&amp;B12&amp;"*",'[1]Cash PLus'!$B:$B,'[1]Cash PLus'!$F:$F,"",2))</f>
        <v>0</v>
      </c>
      <c r="I12" s="9">
        <f>IFERROR(_xlfn.XLOOKUP(B12,'[1]Cash PLus'!$B:$B,'[1]Cash PLus'!$E:$E,""),_xlfn.XLOOKUP("*"&amp;B12&amp;"*",'[1]Cash PLus'!$B:$B,'[1]Cash PLus'!$E:$E,"",2))</f>
        <v>0.46762994851890782</v>
      </c>
      <c r="J12" t="str">
        <f>IFERROR(_xlfn.XLOOKUP(B12,'[1]Cash PLus'!$B:$B,'[1]Cash PLus'!$G:$G,""),_xlfn.XLOOKUP("*"&amp;B12&amp;"*",'[1]Cash PLus'!$B:$B,'[1]Cash PLus'!$G:$G,"",2))</f>
        <v>Corporativo</v>
      </c>
      <c r="K12" s="4">
        <f>_xlfn.XLOOKUP(B12,'[1]Cash PLus'!$B:$B,'[1]Cash PLus'!$C:$C,"")</f>
        <v>7.4436988565455595E-2</v>
      </c>
      <c r="L12" t="s">
        <v>11</v>
      </c>
      <c r="M12" s="5">
        <f>'[1]Macro Info'!$D$10</f>
        <v>0.31786850774816866</v>
      </c>
      <c r="N12" s="5">
        <f t="shared" si="0"/>
        <v>2.3661174476568864E-2</v>
      </c>
      <c r="O12" s="5">
        <f t="shared" si="1"/>
        <v>1.1064673802374794E-2</v>
      </c>
      <c r="P12" s="5">
        <f t="shared" si="2"/>
        <v>0</v>
      </c>
    </row>
    <row r="13" spans="1:16" ht="15.75" x14ac:dyDescent="0.3">
      <c r="A13" s="2">
        <f>'[1]Cash PLus'!$A$1</f>
        <v>45989</v>
      </c>
      <c r="B13" s="8" t="s">
        <v>54</v>
      </c>
      <c r="C13" t="s">
        <v>9</v>
      </c>
      <c r="D13" t="str">
        <f>IFERROR(_xlfn.XLOOKUP(B13,'[1]Cash PLus'!$B:$B,'[1]Cash PLus'!$D:$D,""),_xlfn.XLOOKUP("*"&amp;B13&amp;"*",'[1]Cash PLus'!$B:$B,'[1]Cash PLus'!$D:$D,"",2))</f>
        <v>Sênior</v>
      </c>
      <c r="E13" t="s">
        <v>45</v>
      </c>
      <c r="F13" t="s">
        <v>46</v>
      </c>
      <c r="G13" t="s">
        <v>47</v>
      </c>
      <c r="H13" s="9">
        <f>IFERROR(_xlfn.XLOOKUP(B13,'[1]Cash PLus'!$B:$B,'[1]Cash PLus'!$F:$F,""),_xlfn.XLOOKUP("*"&amp;B13&amp;"*",'[1]Cash PLus'!$B:$B,'[1]Cash PLus'!$F:$F,"",2))</f>
        <v>0</v>
      </c>
      <c r="I13" s="9">
        <f>IFERROR(_xlfn.XLOOKUP(B13,'[1]Cash PLus'!$B:$B,'[1]Cash PLus'!$E:$E,""),_xlfn.XLOOKUP("*"&amp;B13&amp;"*",'[1]Cash PLus'!$B:$B,'[1]Cash PLus'!$E:$E,"",2))</f>
        <v>0.72670041212507164</v>
      </c>
      <c r="J13" t="str">
        <f>IFERROR(_xlfn.XLOOKUP(B13,'[1]Cash PLus'!$B:$B,'[1]Cash PLus'!$G:$G,""),_xlfn.XLOOKUP("*"&amp;B13&amp;"*",'[1]Cash PLus'!$B:$B,'[1]Cash PLus'!$G:$G,"",2))</f>
        <v>Corporativo</v>
      </c>
      <c r="K13" s="4">
        <f>_xlfn.XLOOKUP(B13,'[1]Cash PLus'!$B:$B,'[1]Cash PLus'!$C:$C,"")</f>
        <v>5.9611557885440529E-2</v>
      </c>
      <c r="L13" t="s">
        <v>11</v>
      </c>
      <c r="M13" s="5">
        <f>'[1]Macro Info'!$D$10</f>
        <v>0.31786850774816866</v>
      </c>
      <c r="N13" s="5">
        <f t="shared" si="0"/>
        <v>1.8948636949588558E-2</v>
      </c>
      <c r="O13" s="5">
        <f t="shared" si="1"/>
        <v>1.3769982280474366E-2</v>
      </c>
      <c r="P13" s="5">
        <f t="shared" si="2"/>
        <v>0</v>
      </c>
    </row>
    <row r="14" spans="1:16" ht="15.75" x14ac:dyDescent="0.3">
      <c r="A14" s="2">
        <f>'[1]Cash PLus'!$A$1</f>
        <v>45989</v>
      </c>
      <c r="B14" s="8" t="s">
        <v>55</v>
      </c>
      <c r="C14" t="s">
        <v>9</v>
      </c>
      <c r="D14" t="str">
        <f>IFERROR(_xlfn.XLOOKUP(B14,'[1]Cash PLus'!$B:$B,'[1]Cash PLus'!$D:$D,""),_xlfn.XLOOKUP("*"&amp;B14&amp;"*",'[1]Cash PLus'!$B:$B,'[1]Cash PLus'!$D:$D,"",2))</f>
        <v>Sênior</v>
      </c>
      <c r="E14" t="s">
        <v>45</v>
      </c>
      <c r="F14" t="s">
        <v>46</v>
      </c>
      <c r="G14" t="s">
        <v>47</v>
      </c>
      <c r="H14" s="9">
        <f>IFERROR(_xlfn.XLOOKUP(B14,'[1]Cash PLus'!$B:$B,'[1]Cash PLus'!$F:$F,""),_xlfn.XLOOKUP("*"&amp;B14&amp;"*",'[1]Cash PLus'!$B:$B,'[1]Cash PLus'!$F:$F,"",2))</f>
        <v>5.5589999999999996E-6</v>
      </c>
      <c r="I14" s="9">
        <f>IFERROR(_xlfn.XLOOKUP(B14,'[1]Cash PLus'!$B:$B,'[1]Cash PLus'!$E:$E,""),_xlfn.XLOOKUP("*"&amp;B14&amp;"*",'[1]Cash PLus'!$B:$B,'[1]Cash PLus'!$E:$E,"",2))</f>
        <v>0.49009298337515983</v>
      </c>
      <c r="J14" t="str">
        <f>IFERROR(_xlfn.XLOOKUP(B14,'[1]Cash PLus'!$B:$B,'[1]Cash PLus'!$G:$G,""),_xlfn.XLOOKUP("*"&amp;B14&amp;"*",'[1]Cash PLus'!$B:$B,'[1]Cash PLus'!$G:$G,"",2))</f>
        <v>Corporativo</v>
      </c>
      <c r="K14" s="4">
        <f>_xlfn.XLOOKUP(B14,'[1]Cash PLus'!$B:$B,'[1]Cash PLus'!$C:$C,"")</f>
        <v>1.1341173232802331E-2</v>
      </c>
      <c r="L14" t="s">
        <v>11</v>
      </c>
      <c r="M14" s="5">
        <f>'[1]Macro Info'!$D$10</f>
        <v>0.31786850774816866</v>
      </c>
      <c r="N14" s="5">
        <f t="shared" si="0"/>
        <v>3.6050018116243507E-3</v>
      </c>
      <c r="O14" s="5">
        <f t="shared" si="1"/>
        <v>1.7667860929318339E-3</v>
      </c>
      <c r="P14" s="5">
        <f t="shared" si="2"/>
        <v>2.0040205070819765E-8</v>
      </c>
    </row>
    <row r="15" spans="1:16" ht="15.75" x14ac:dyDescent="0.3">
      <c r="A15" s="2">
        <f>'[1]Cash PLus'!$A$1</f>
        <v>45989</v>
      </c>
      <c r="B15" s="8" t="s">
        <v>56</v>
      </c>
      <c r="C15" t="s">
        <v>9</v>
      </c>
      <c r="D15" t="str">
        <f>IFERROR(_xlfn.XLOOKUP(B15,'[1]Cash PLus'!$B:$B,'[1]Cash PLus'!$D:$D,""),_xlfn.XLOOKUP("*"&amp;B15&amp;"*",'[1]Cash PLus'!$B:$B,'[1]Cash PLus'!$D:$D,"",2))</f>
        <v>Mezanino</v>
      </c>
      <c r="E15" t="s">
        <v>45</v>
      </c>
      <c r="F15" t="s">
        <v>46</v>
      </c>
      <c r="G15" t="s">
        <v>47</v>
      </c>
      <c r="H15" s="9">
        <f>IFERROR(_xlfn.XLOOKUP(B15,'[1]Cash PLus'!$B:$B,'[1]Cash PLus'!$F:$F,""),_xlfn.XLOOKUP("*"&amp;B15&amp;"*",'[1]Cash PLus'!$B:$B,'[1]Cash PLus'!$F:$F,"",2))</f>
        <v>5.5589999999999996E-6</v>
      </c>
      <c r="I15" s="9">
        <f>IFERROR(_xlfn.XLOOKUP(B15,'[1]Cash PLus'!$B:$B,'[1]Cash PLus'!$E:$E,""),_xlfn.XLOOKUP("*"&amp;B15&amp;"*",'[1]Cash PLus'!$B:$B,'[1]Cash PLus'!$E:$E,"",2))</f>
        <v>0.18063454221020531</v>
      </c>
      <c r="J15" t="str">
        <f>IFERROR(_xlfn.XLOOKUP(B15,'[1]Cash PLus'!$B:$B,'[1]Cash PLus'!$G:$G,""),_xlfn.XLOOKUP("*"&amp;B15&amp;"*",'[1]Cash PLus'!$B:$B,'[1]Cash PLus'!$G:$G,"",2))</f>
        <v>Corporativo</v>
      </c>
      <c r="K15" s="4">
        <f>_xlfn.XLOOKUP(B15,'[1]Cash PLus'!$B:$B,'[1]Cash PLus'!$C:$C,"")</f>
        <v>6.3229862418838836E-2</v>
      </c>
      <c r="L15" t="s">
        <v>11</v>
      </c>
      <c r="M15" s="5">
        <f>'[1]Macro Info'!$D$10</f>
        <v>0.31786850774816866</v>
      </c>
      <c r="N15" s="5">
        <f t="shared" si="0"/>
        <v>2.0098782012198311E-2</v>
      </c>
      <c r="O15" s="5">
        <f t="shared" si="1"/>
        <v>3.6305342877561509E-3</v>
      </c>
      <c r="P15" s="5">
        <f t="shared" si="2"/>
        <v>1.117291292058104E-7</v>
      </c>
    </row>
    <row r="16" spans="1:16" ht="15.75" x14ac:dyDescent="0.3">
      <c r="A16" s="2">
        <f>'[1]Cash PLus'!$A$1</f>
        <v>45989</v>
      </c>
      <c r="B16" s="8" t="s">
        <v>57</v>
      </c>
      <c r="C16" t="s">
        <v>9</v>
      </c>
      <c r="D16" t="str">
        <f>IFERROR(_xlfn.XLOOKUP(B16,'[1]Cash PLus'!$B:$B,'[1]Cash PLus'!$D:$D,""),_xlfn.XLOOKUP("*"&amp;B16&amp;"*",'[1]Cash PLus'!$B:$B,'[1]Cash PLus'!$D:$D,"",2))</f>
        <v>Mezanino</v>
      </c>
      <c r="E16" t="s">
        <v>45</v>
      </c>
      <c r="F16" t="s">
        <v>46</v>
      </c>
      <c r="G16" t="s">
        <v>47</v>
      </c>
      <c r="H16" s="9">
        <f>IFERROR(_xlfn.XLOOKUP(B16,'[1]Cash PLus'!$B:$B,'[1]Cash PLus'!$F:$F,""),_xlfn.XLOOKUP("*"&amp;B16&amp;"*",'[1]Cash PLus'!$B:$B,'[1]Cash PLus'!$F:$F,"",2))</f>
        <v>1.4380739999999999E-3</v>
      </c>
      <c r="I16" s="9">
        <f>IFERROR(_xlfn.XLOOKUP(B16,'[1]Cash PLus'!$B:$B,'[1]Cash PLus'!$E:$E,""),_xlfn.XLOOKUP("*"&amp;B16&amp;"*",'[1]Cash PLus'!$B:$B,'[1]Cash PLus'!$E:$E,"",2))</f>
        <v>0.34205325146973892</v>
      </c>
      <c r="J16" t="str">
        <f>IFERROR(_xlfn.XLOOKUP(B16,'[1]Cash PLus'!$B:$B,'[1]Cash PLus'!$G:$G,""),_xlfn.XLOOKUP("*"&amp;B16&amp;"*",'[1]Cash PLus'!$B:$B,'[1]Cash PLus'!$G:$G,"",2))</f>
        <v>Agronegócio</v>
      </c>
      <c r="K16" s="4">
        <f>_xlfn.XLOOKUP(B16,'[1]Cash PLus'!$B:$B,'[1]Cash PLus'!$C:$C,"")</f>
        <v>0.17101772455040101</v>
      </c>
      <c r="L16" t="s">
        <v>11</v>
      </c>
      <c r="M16" s="5">
        <f>'[1]Macro Info'!$D$10</f>
        <v>0.31786850774816866</v>
      </c>
      <c r="N16" s="5">
        <f t="shared" si="0"/>
        <v>5.436114890132332E-2</v>
      </c>
      <c r="O16" s="5">
        <f t="shared" si="1"/>
        <v>1.8594407735328267E-2</v>
      </c>
      <c r="P16" s="5">
        <f t="shared" si="2"/>
        <v>7.8175354845121632E-5</v>
      </c>
    </row>
    <row r="17" spans="1:16" ht="15.75" x14ac:dyDescent="0.3">
      <c r="A17" s="2">
        <f>'[1]Cash PLus'!$A$1</f>
        <v>45989</v>
      </c>
      <c r="B17" s="8" t="s">
        <v>58</v>
      </c>
      <c r="C17" t="s">
        <v>9</v>
      </c>
      <c r="D17" t="str">
        <f>IFERROR(_xlfn.XLOOKUP(B17,'[1]Cash PLus'!$B:$B,'[1]Cash PLus'!$D:$D,""),_xlfn.XLOOKUP("*"&amp;B17&amp;"*",'[1]Cash PLus'!$B:$B,'[1]Cash PLus'!$D:$D,"",2))</f>
        <v>Mezanino</v>
      </c>
      <c r="E17" t="s">
        <v>45</v>
      </c>
      <c r="F17" t="s">
        <v>46</v>
      </c>
      <c r="G17" t="s">
        <v>47</v>
      </c>
      <c r="H17" s="9">
        <f>IFERROR(_xlfn.XLOOKUP(B17,'[1]Cash PLus'!$B:$B,'[1]Cash PLus'!$F:$F,""),_xlfn.XLOOKUP("*"&amp;B17&amp;"*",'[1]Cash PLus'!$B:$B,'[1]Cash PLus'!$F:$F,"",2))</f>
        <v>2.5445799999999998E-3</v>
      </c>
      <c r="I17" s="9">
        <f>IFERROR(_xlfn.XLOOKUP(B17,'[1]Cash PLus'!$B:$B,'[1]Cash PLus'!$E:$E,""),_xlfn.XLOOKUP("*"&amp;B17&amp;"*",'[1]Cash PLus'!$B:$B,'[1]Cash PLus'!$E:$E,"",2))</f>
        <v>0.2506562990097147</v>
      </c>
      <c r="J17" t="str">
        <f>IFERROR(_xlfn.XLOOKUP(B17,'[1]Cash PLus'!$B:$B,'[1]Cash PLus'!$G:$G,""),_xlfn.XLOOKUP("*"&amp;B17&amp;"*",'[1]Cash PLus'!$B:$B,'[1]Cash PLus'!$G:$G,"",2))</f>
        <v>Multi/Multi</v>
      </c>
      <c r="K17" s="4">
        <f>_xlfn.XLOOKUP(B17,'[1]Cash PLus'!$B:$B,'[1]Cash PLus'!$C:$C,"")</f>
        <v>5.4748698678216107E-2</v>
      </c>
      <c r="L17" t="s">
        <v>11</v>
      </c>
      <c r="M17" s="5">
        <f>'[1]Macro Info'!$D$10</f>
        <v>0.31786850774816866</v>
      </c>
      <c r="N17" s="5">
        <f t="shared" si="0"/>
        <v>1.7402887149998689E-2</v>
      </c>
      <c r="O17" s="5">
        <f t="shared" si="1"/>
        <v>4.3621432851023928E-3</v>
      </c>
      <c r="P17" s="5">
        <f t="shared" si="2"/>
        <v>4.4283038584143661E-5</v>
      </c>
    </row>
    <row r="18" spans="1:16" ht="15.75" x14ac:dyDescent="0.3">
      <c r="A18" s="2">
        <f>'[1]Cash PLus'!$A$1</f>
        <v>45989</v>
      </c>
      <c r="B18" s="8" t="s">
        <v>59</v>
      </c>
      <c r="C18" t="s">
        <v>9</v>
      </c>
      <c r="D18" t="str">
        <f>IFERROR(_xlfn.XLOOKUP(B18,'[1]Cash PLus'!$B:$B,'[1]Cash PLus'!$D:$D,""),_xlfn.XLOOKUP("*"&amp;B18&amp;"*",'[1]Cash PLus'!$B:$B,'[1]Cash PLus'!$D:$D,"",2))</f>
        <v>Mezanino</v>
      </c>
      <c r="E18" t="s">
        <v>45</v>
      </c>
      <c r="F18" t="s">
        <v>46</v>
      </c>
      <c r="G18" t="s">
        <v>47</v>
      </c>
      <c r="H18" s="9">
        <f>IFERROR(_xlfn.XLOOKUP(B18,'[1]Cash PLus'!$B:$B,'[1]Cash PLus'!$F:$F,""),_xlfn.XLOOKUP("*"&amp;B18&amp;"*",'[1]Cash PLus'!$B:$B,'[1]Cash PLus'!$F:$F,"",2))</f>
        <v>0</v>
      </c>
      <c r="I18" s="9">
        <f>IFERROR(_xlfn.XLOOKUP(B18,'[1]Cash PLus'!$B:$B,'[1]Cash PLus'!$E:$E,""),_xlfn.XLOOKUP("*"&amp;B18&amp;"*",'[1]Cash PLus'!$B:$B,'[1]Cash PLus'!$E:$E,"",2))</f>
        <v>0.56285574058339982</v>
      </c>
      <c r="J18" t="str">
        <f>IFERROR(_xlfn.XLOOKUP(B18,'[1]Cash PLus'!$B:$B,'[1]Cash PLus'!$G:$G,""),_xlfn.XLOOKUP("*"&amp;B18&amp;"*",'[1]Cash PLus'!$B:$B,'[1]Cash PLus'!$G:$G,"",2))</f>
        <v>Corporativo</v>
      </c>
      <c r="K18" s="4">
        <f>_xlfn.XLOOKUP(B18,'[1]Cash PLus'!$B:$B,'[1]Cash PLus'!$C:$C,"")</f>
        <v>4.0074498466869952E-2</v>
      </c>
      <c r="L18" t="s">
        <v>11</v>
      </c>
      <c r="M18" s="5">
        <f>'[1]Macro Info'!$D$10</f>
        <v>0.31786850774816866</v>
      </c>
      <c r="N18" s="5">
        <f t="shared" si="0"/>
        <v>1.2738421026420225E-2</v>
      </c>
      <c r="O18" s="5">
        <f t="shared" si="1"/>
        <v>7.1698934006889084E-3</v>
      </c>
      <c r="P18" s="5">
        <f t="shared" si="2"/>
        <v>0</v>
      </c>
    </row>
    <row r="19" spans="1:16" ht="15.75" x14ac:dyDescent="0.3">
      <c r="A19" s="2">
        <f>'[1]Cash PLus'!$A$1</f>
        <v>45989</v>
      </c>
      <c r="B19" s="8" t="s">
        <v>60</v>
      </c>
      <c r="C19" t="s">
        <v>9</v>
      </c>
      <c r="D19" t="str">
        <f>IFERROR(_xlfn.XLOOKUP(B19,'[1]Cash PLus'!$B:$B,'[1]Cash PLus'!$D:$D,""),_xlfn.XLOOKUP("*"&amp;B19&amp;"*",'[1]Cash PLus'!$B:$B,'[1]Cash PLus'!$D:$D,"",2))</f>
        <v>Mezanino</v>
      </c>
      <c r="E19" t="s">
        <v>45</v>
      </c>
      <c r="F19" t="s">
        <v>46</v>
      </c>
      <c r="G19" t="s">
        <v>47</v>
      </c>
      <c r="H19" s="9">
        <f>IFERROR(_xlfn.XLOOKUP(B19,'[1]Cash PLus'!$B:$B,'[1]Cash PLus'!$F:$F,""),_xlfn.XLOOKUP("*"&amp;B19&amp;"*",'[1]Cash PLus'!$B:$B,'[1]Cash PLus'!$F:$F,"",2))</f>
        <v>0</v>
      </c>
      <c r="I19" s="9">
        <f>IFERROR(_xlfn.XLOOKUP(B19,'[1]Cash PLus'!$B:$B,'[1]Cash PLus'!$E:$E,""),_xlfn.XLOOKUP("*"&amp;B19&amp;"*",'[1]Cash PLus'!$B:$B,'[1]Cash PLus'!$E:$E,"",2))</f>
        <v>0.56285574058339982</v>
      </c>
      <c r="J19" t="str">
        <f>IFERROR(_xlfn.XLOOKUP(B19,'[1]Cash PLus'!$B:$B,'[1]Cash PLus'!$G:$G,""),_xlfn.XLOOKUP("*"&amp;B19&amp;"*",'[1]Cash PLus'!$B:$B,'[1]Cash PLus'!$G:$G,"",2))</f>
        <v>Corporativo</v>
      </c>
      <c r="K19" s="4">
        <f>_xlfn.XLOOKUP(B19,'[1]Cash PLus'!$B:$B,'[1]Cash PLus'!$C:$C,"")</f>
        <v>1.5329551061920169E-3</v>
      </c>
      <c r="L19" t="s">
        <v>11</v>
      </c>
      <c r="M19" s="5">
        <f>'[1]Macro Info'!$D$10</f>
        <v>0.31786850774816866</v>
      </c>
      <c r="N19" s="5">
        <f t="shared" si="0"/>
        <v>4.8727815205019183E-4</v>
      </c>
      <c r="O19" s="5">
        <f t="shared" si="1"/>
        <v>2.7426730514232121E-4</v>
      </c>
      <c r="P19" s="5">
        <f t="shared" si="2"/>
        <v>0</v>
      </c>
    </row>
    <row r="20" spans="1:16" ht="15.75" x14ac:dyDescent="0.3">
      <c r="A20" s="2">
        <f>'[1]Cash PLus'!$A$1</f>
        <v>45989</v>
      </c>
      <c r="B20" s="8" t="s">
        <v>61</v>
      </c>
      <c r="C20" t="s">
        <v>9</v>
      </c>
      <c r="D20" t="str">
        <f>IFERROR(_xlfn.XLOOKUP(B20,'[1]Cash PLus'!$B:$B,'[1]Cash PLus'!$D:$D,""),_xlfn.XLOOKUP("*"&amp;B20&amp;"*",'[1]Cash PLus'!$B:$B,'[1]Cash PLus'!$D:$D,"",2))</f>
        <v>Sênior</v>
      </c>
      <c r="E20" t="s">
        <v>45</v>
      </c>
      <c r="F20" t="s">
        <v>46</v>
      </c>
      <c r="G20" t="s">
        <v>47</v>
      </c>
      <c r="H20" s="9">
        <f>IFERROR(_xlfn.XLOOKUP(B20,'[1]Cash PLus'!$B:$B,'[1]Cash PLus'!$F:$F,""),_xlfn.XLOOKUP("*"&amp;B20&amp;"*",'[1]Cash PLus'!$B:$B,'[1]Cash PLus'!$F:$F,"",2))</f>
        <v>0</v>
      </c>
      <c r="I20" s="9">
        <f>IFERROR(_xlfn.XLOOKUP(B20,'[1]Cash PLus'!$B:$B,'[1]Cash PLus'!$E:$E,""),_xlfn.XLOOKUP("*"&amp;B20&amp;"*",'[1]Cash PLus'!$B:$B,'[1]Cash PLus'!$E:$E,"",2))</f>
        <v>0.75567589038940663</v>
      </c>
      <c r="J20" t="str">
        <f>IFERROR(_xlfn.XLOOKUP(B20,'[1]Cash PLus'!$B:$B,'[1]Cash PLus'!$G:$G,""),_xlfn.XLOOKUP("*"&amp;B20&amp;"*",'[1]Cash PLus'!$B:$B,'[1]Cash PLus'!$G:$G,"",2))</f>
        <v>Corporativo</v>
      </c>
      <c r="K20" s="4">
        <f>_xlfn.XLOOKUP(B20,'[1]Cash PLus'!$B:$B,'[1]Cash PLus'!$C:$C,"")</f>
        <v>3.4920260111312058E-3</v>
      </c>
      <c r="L20" t="s">
        <v>11</v>
      </c>
      <c r="M20" s="5">
        <f>'[1]Macro Info'!$D$10</f>
        <v>0.31786850774816866</v>
      </c>
      <c r="N20" s="5">
        <f t="shared" si="0"/>
        <v>1.1100050971760663E-3</v>
      </c>
      <c r="O20" s="5">
        <f t="shared" si="1"/>
        <v>8.3880409014530373E-4</v>
      </c>
      <c r="P20" s="5">
        <f t="shared" si="2"/>
        <v>0</v>
      </c>
    </row>
    <row r="21" spans="1:16" ht="15.75" x14ac:dyDescent="0.3">
      <c r="A21" s="2">
        <f>'[1]Cash PLus'!$A$1</f>
        <v>45989</v>
      </c>
      <c r="B21" s="8" t="s">
        <v>62</v>
      </c>
      <c r="C21" t="s">
        <v>9</v>
      </c>
      <c r="D21" t="str">
        <f>IFERROR(_xlfn.XLOOKUP(B21,'[1]Cash PLus'!$B:$B,'[1]Cash PLus'!$D:$D,""),_xlfn.XLOOKUP("*"&amp;B21&amp;"*",'[1]Cash PLus'!$B:$B,'[1]Cash PLus'!$D:$D,"",2))</f>
        <v>Sênior</v>
      </c>
      <c r="E21" t="s">
        <v>45</v>
      </c>
      <c r="F21" t="s">
        <v>46</v>
      </c>
      <c r="G21" t="s">
        <v>47</v>
      </c>
      <c r="H21" s="9">
        <f>IFERROR(_xlfn.XLOOKUP(B21,'[1]Cash PLus'!$B:$B,'[1]Cash PLus'!$F:$F,""),_xlfn.XLOOKUP("*"&amp;B21&amp;"*",'[1]Cash PLus'!$B:$B,'[1]Cash PLus'!$F:$F,"",2))</f>
        <v>0</v>
      </c>
      <c r="I21" s="9">
        <f>IFERROR(_xlfn.XLOOKUP(B21,'[1]Cash PLus'!$B:$B,'[1]Cash PLus'!$E:$E,""),_xlfn.XLOOKUP("*"&amp;B21&amp;"*",'[1]Cash PLus'!$B:$B,'[1]Cash PLus'!$E:$E,"",2))</f>
        <v>0.75567589038940663</v>
      </c>
      <c r="J21" t="str">
        <f>IFERROR(_xlfn.XLOOKUP(B21,'[1]Cash PLus'!$B:$B,'[1]Cash PLus'!$G:$G,""),_xlfn.XLOOKUP("*"&amp;B21&amp;"*",'[1]Cash PLus'!$B:$B,'[1]Cash PLus'!$G:$G,"",2))</f>
        <v>Corporativo</v>
      </c>
      <c r="K21" s="4">
        <f>_xlfn.XLOOKUP(B21,'[1]Cash PLus'!$B:$B,'[1]Cash PLus'!$C:$C,"")</f>
        <v>3.9887919468782418E-3</v>
      </c>
      <c r="L21" t="s">
        <v>11</v>
      </c>
      <c r="M21" s="5">
        <f>'[1]Macro Info'!$D$10</f>
        <v>0.31786850774816866</v>
      </c>
      <c r="N21" s="5">
        <f t="shared" si="0"/>
        <v>1.2679113438720992E-3</v>
      </c>
      <c r="O21" s="5">
        <f t="shared" si="1"/>
        <v>9.5813003371537767E-4</v>
      </c>
      <c r="P21" s="5">
        <f t="shared" si="2"/>
        <v>0</v>
      </c>
    </row>
    <row r="22" spans="1:16" ht="15.75" x14ac:dyDescent="0.3">
      <c r="A22" s="2">
        <f>'[1]Cash PLus'!$A$1</f>
        <v>45989</v>
      </c>
      <c r="B22" s="8" t="s">
        <v>63</v>
      </c>
      <c r="C22" t="s">
        <v>9</v>
      </c>
      <c r="D22" t="str">
        <f>IFERROR(_xlfn.XLOOKUP(B22,'[1]Cash PLus'!$B:$B,'[1]Cash PLus'!$D:$D,""),_xlfn.XLOOKUP("*"&amp;B22&amp;"*",'[1]Cash PLus'!$B:$B,'[1]Cash PLus'!$D:$D,"",2))</f>
        <v>Sênior</v>
      </c>
      <c r="E22" t="s">
        <v>45</v>
      </c>
      <c r="F22" t="s">
        <v>46</v>
      </c>
      <c r="G22" t="s">
        <v>47</v>
      </c>
      <c r="H22" s="9">
        <f>IFERROR(_xlfn.XLOOKUP(B22,'[1]Cash PLus'!$B:$B,'[1]Cash PLus'!$F:$F,""),_xlfn.XLOOKUP("*"&amp;B22&amp;"*",'[1]Cash PLus'!$B:$B,'[1]Cash PLus'!$F:$F,"",2))</f>
        <v>0</v>
      </c>
      <c r="I22" s="9">
        <f>IFERROR(_xlfn.XLOOKUP(B22,'[1]Cash PLus'!$B:$B,'[1]Cash PLus'!$E:$E,""),_xlfn.XLOOKUP("*"&amp;B22&amp;"*",'[1]Cash PLus'!$B:$B,'[1]Cash PLus'!$E:$E,"",2))</f>
        <v>0.75567589038940663</v>
      </c>
      <c r="J22" t="str">
        <f>IFERROR(_xlfn.XLOOKUP(B22,'[1]Cash PLus'!$B:$B,'[1]Cash PLus'!$G:$G,""),_xlfn.XLOOKUP("*"&amp;B22&amp;"*",'[1]Cash PLus'!$B:$B,'[1]Cash PLus'!$G:$G,"",2))</f>
        <v>Corporativo</v>
      </c>
      <c r="K22" s="4">
        <f>_xlfn.XLOOKUP(B22,'[1]Cash PLus'!$B:$B,'[1]Cash PLus'!$C:$C,"")</f>
        <v>3.6429647889809689E-3</v>
      </c>
      <c r="L22" t="s">
        <v>11</v>
      </c>
      <c r="M22" s="5">
        <f>'[1]Macro Info'!$D$10</f>
        <v>0.31786850774816866</v>
      </c>
      <c r="N22" s="5">
        <f t="shared" si="0"/>
        <v>1.1579837812525028E-3</v>
      </c>
      <c r="O22" s="5">
        <f t="shared" si="1"/>
        <v>8.7506042495447698E-4</v>
      </c>
      <c r="P22" s="5">
        <f t="shared" si="2"/>
        <v>0</v>
      </c>
    </row>
    <row r="23" spans="1:16" ht="15.75" x14ac:dyDescent="0.3">
      <c r="A23" s="2">
        <f>'[1]Cash PLus'!$A$1</f>
        <v>45989</v>
      </c>
      <c r="B23" s="8" t="s">
        <v>64</v>
      </c>
      <c r="C23" t="s">
        <v>9</v>
      </c>
      <c r="D23" t="str">
        <f>IFERROR(_xlfn.XLOOKUP(B23,'[1]Cash PLus'!$B:$B,'[1]Cash PLus'!$D:$D,""),_xlfn.XLOOKUP("*"&amp;B23&amp;"*",'[1]Cash PLus'!$B:$B,'[1]Cash PLus'!$D:$D,"",2))</f>
        <v>Mezanino</v>
      </c>
      <c r="E23" t="s">
        <v>45</v>
      </c>
      <c r="F23" t="s">
        <v>46</v>
      </c>
      <c r="G23" t="s">
        <v>47</v>
      </c>
      <c r="H23" s="9">
        <f>IFERROR(_xlfn.XLOOKUP(B23,'[1]Cash PLus'!$B:$B,'[1]Cash PLus'!$F:$F,""),_xlfn.XLOOKUP("*"&amp;B23&amp;"*",'[1]Cash PLus'!$B:$B,'[1]Cash PLus'!$F:$F,"",2))</f>
        <v>0</v>
      </c>
      <c r="I23" s="9">
        <f>IFERROR(_xlfn.XLOOKUP(B23,'[1]Cash PLus'!$B:$B,'[1]Cash PLus'!$E:$E,""),_xlfn.XLOOKUP("*"&amp;B23&amp;"*",'[1]Cash PLus'!$B:$B,'[1]Cash PLus'!$E:$E,"",2))</f>
        <v>0.56285574058339982</v>
      </c>
      <c r="J23" t="str">
        <f>IFERROR(_xlfn.XLOOKUP(B23,'[1]Cash PLus'!$B:$B,'[1]Cash PLus'!$G:$G,""),_xlfn.XLOOKUP("*"&amp;B23&amp;"*",'[1]Cash PLus'!$B:$B,'[1]Cash PLus'!$G:$G,"",2))</f>
        <v>Corporativo</v>
      </c>
      <c r="K23" s="4">
        <f>_xlfn.XLOOKUP(B23,'[1]Cash PLus'!$B:$B,'[1]Cash PLus'!$C:$C,"")</f>
        <v>2.039037882160543E-2</v>
      </c>
      <c r="L23" t="s">
        <v>11</v>
      </c>
      <c r="M23" s="5">
        <f>'[1]Macro Info'!$D$10</f>
        <v>0.31786850774816866</v>
      </c>
      <c r="N23" s="5">
        <f t="shared" si="0"/>
        <v>6.48145928844358E-3</v>
      </c>
      <c r="O23" s="5">
        <f t="shared" si="1"/>
        <v>3.6481265678580668E-3</v>
      </c>
      <c r="P23" s="5">
        <f t="shared" si="2"/>
        <v>0</v>
      </c>
    </row>
    <row r="24" spans="1:16" ht="15.75" x14ac:dyDescent="0.3">
      <c r="A24" s="2">
        <f>'[1]Cash PLus'!$A$1</f>
        <v>45989</v>
      </c>
      <c r="B24" s="8" t="s">
        <v>65</v>
      </c>
      <c r="C24" t="s">
        <v>9</v>
      </c>
      <c r="D24" t="str">
        <f>IFERROR(_xlfn.XLOOKUP(B24,'[1]Cash PLus'!$B:$B,'[1]Cash PLus'!$D:$D,""),_xlfn.XLOOKUP("*"&amp;B24&amp;"*",'[1]Cash PLus'!$B:$B,'[1]Cash PLus'!$D:$D,"",2))</f>
        <v>Mezanino</v>
      </c>
      <c r="E24" t="s">
        <v>45</v>
      </c>
      <c r="F24" t="s">
        <v>46</v>
      </c>
      <c r="G24" t="s">
        <v>47</v>
      </c>
      <c r="H24" s="9">
        <f>IFERROR(_xlfn.XLOOKUP(B24,'[1]Cash PLus'!$B:$B,'[1]Cash PLus'!$F:$F,""),_xlfn.XLOOKUP("*"&amp;B24&amp;"*",'[1]Cash PLus'!$B:$B,'[1]Cash PLus'!$F:$F,"",2))</f>
        <v>0</v>
      </c>
      <c r="I24" s="9">
        <f>IFERROR(_xlfn.XLOOKUP(B24,'[1]Cash PLus'!$B:$B,'[1]Cash PLus'!$E:$E,""),_xlfn.XLOOKUP("*"&amp;B24&amp;"*",'[1]Cash PLus'!$B:$B,'[1]Cash PLus'!$E:$E,"",2))</f>
        <v>0.56285574058339982</v>
      </c>
      <c r="J24" t="str">
        <f>IFERROR(_xlfn.XLOOKUP(B24,'[1]Cash PLus'!$B:$B,'[1]Cash PLus'!$G:$G,""),_xlfn.XLOOKUP("*"&amp;B24&amp;"*",'[1]Cash PLus'!$B:$B,'[1]Cash PLus'!$G:$G,"",2))</f>
        <v>Corporativo</v>
      </c>
      <c r="K24" s="4">
        <f>_xlfn.XLOOKUP(B24,'[1]Cash PLus'!$B:$B,'[1]Cash PLus'!$C:$C,"")</f>
        <v>2.8583853768296131E-2</v>
      </c>
      <c r="L24" t="s">
        <v>11</v>
      </c>
      <c r="M24" s="5">
        <f>'[1]Macro Info'!$D$10</f>
        <v>0.31786850774816866</v>
      </c>
      <c r="N24" s="5">
        <f t="shared" si="0"/>
        <v>9.085906943020158E-3</v>
      </c>
      <c r="O24" s="5">
        <f t="shared" si="1"/>
        <v>5.1140548812854654E-3</v>
      </c>
      <c r="P24" s="5">
        <f t="shared" si="2"/>
        <v>0</v>
      </c>
    </row>
    <row r="25" spans="1:16" ht="15.75" x14ac:dyDescent="0.3">
      <c r="A25" s="2">
        <f>'[1]Cash PLus'!$A$1</f>
        <v>45989</v>
      </c>
      <c r="B25" s="8" t="s">
        <v>16</v>
      </c>
      <c r="C25" t="s">
        <v>9</v>
      </c>
      <c r="D25" t="str">
        <f>IFERROR(_xlfn.XLOOKUP(B25,'[1]Cash PLus'!$B:$B,'[1]Cash PLus'!$D:$D,""),_xlfn.XLOOKUP("*"&amp;B25&amp;"*",'[1]Cash PLus'!$B:$B,'[1]Cash PLus'!$D:$D,"",2))</f>
        <v>Mezanino</v>
      </c>
      <c r="E25" t="s">
        <v>45</v>
      </c>
      <c r="F25" t="s">
        <v>46</v>
      </c>
      <c r="G25" t="s">
        <v>47</v>
      </c>
      <c r="H25" s="9">
        <f>IFERROR(_xlfn.XLOOKUP(B25,'[1]Cash PLus'!$B:$B,'[1]Cash PLus'!$F:$F,""),_xlfn.XLOOKUP("*"&amp;B25&amp;"*",'[1]Cash PLus'!$B:$B,'[1]Cash PLus'!$F:$F,"",2))</f>
        <v>0</v>
      </c>
      <c r="I25" s="9">
        <f>IFERROR(_xlfn.XLOOKUP(B25,'[1]Cash PLus'!$B:$B,'[1]Cash PLus'!$E:$E,""),_xlfn.XLOOKUP("*"&amp;B25&amp;"*",'[1]Cash PLus'!$B:$B,'[1]Cash PLus'!$E:$E,"",2))</f>
        <v>0.36580446130878003</v>
      </c>
      <c r="J25" t="str">
        <f>IFERROR(_xlfn.XLOOKUP(B25,'[1]Cash PLus'!$B:$B,'[1]Cash PLus'!$G:$G,""),_xlfn.XLOOKUP("*"&amp;B25&amp;"*",'[1]Cash PLus'!$B:$B,'[1]Cash PLus'!$G:$G,"",2))</f>
        <v>Corporativo</v>
      </c>
      <c r="K25" s="4">
        <f>_xlfn.XLOOKUP(B25,'[1]Cash PLus'!$B:$B,'[1]Cash PLus'!$C:$C,"")</f>
        <v>3.1667296192215262E-2</v>
      </c>
      <c r="L25" t="s">
        <v>11</v>
      </c>
      <c r="M25" s="5">
        <f>'[1]Macro Info'!$D$10</f>
        <v>0.31786850774816866</v>
      </c>
      <c r="N25" s="5">
        <f t="shared" si="0"/>
        <v>1.006603618503873E-2</v>
      </c>
      <c r="O25" s="5">
        <f t="shared" si="1"/>
        <v>3.6822009441827798E-3</v>
      </c>
      <c r="P25" s="5">
        <f t="shared" si="2"/>
        <v>0</v>
      </c>
    </row>
    <row r="26" spans="1:16" ht="15.75" x14ac:dyDescent="0.3">
      <c r="A26" s="2">
        <f>'[1]Cash PLus'!$A$1</f>
        <v>45989</v>
      </c>
      <c r="B26" s="8" t="s">
        <v>66</v>
      </c>
      <c r="C26" t="s">
        <v>9</v>
      </c>
      <c r="D26" t="str">
        <f>IFERROR(_xlfn.XLOOKUP(B26,'[1]Cash PLus'!$B:$B,'[1]Cash PLus'!$D:$D,""),_xlfn.XLOOKUP("*"&amp;B26&amp;"*",'[1]Cash PLus'!$B:$B,'[1]Cash PLus'!$D:$D,"",2))</f>
        <v>Mezanino</v>
      </c>
      <c r="E26" t="s">
        <v>45</v>
      </c>
      <c r="F26" t="s">
        <v>46</v>
      </c>
      <c r="G26" t="s">
        <v>47</v>
      </c>
      <c r="H26" s="9">
        <f>IFERROR(_xlfn.XLOOKUP(B26,'[1]Cash PLus'!$B:$B,'[1]Cash PLus'!$F:$F,""),_xlfn.XLOOKUP("*"&amp;B26&amp;"*",'[1]Cash PLus'!$B:$B,'[1]Cash PLus'!$F:$F,"",2))</f>
        <v>0</v>
      </c>
      <c r="I26" s="9">
        <f>IFERROR(_xlfn.XLOOKUP(B26,'[1]Cash PLus'!$B:$B,'[1]Cash PLus'!$E:$E,""),_xlfn.XLOOKUP("*"&amp;B26&amp;"*",'[1]Cash PLus'!$B:$B,'[1]Cash PLus'!$E:$E,"",2))</f>
        <v>7.1577916686164797E-2</v>
      </c>
      <c r="J26" t="str">
        <f>IFERROR(_xlfn.XLOOKUP(B26,'[1]Cash PLus'!$B:$B,'[1]Cash PLus'!$G:$G,""),_xlfn.XLOOKUP("*"&amp;B26&amp;"*",'[1]Cash PLus'!$B:$B,'[1]Cash PLus'!$G:$G,"",2))</f>
        <v>Corporativo</v>
      </c>
      <c r="K26" s="4">
        <f>_xlfn.XLOOKUP(B26,'[1]Cash PLus'!$B:$B,'[1]Cash PLus'!$C:$C,"")</f>
        <v>2.149855497691236E-2</v>
      </c>
      <c r="L26" t="s">
        <v>11</v>
      </c>
      <c r="M26" s="5">
        <f>'[1]Macro Info'!$D$10</f>
        <v>0.31786850774816866</v>
      </c>
      <c r="N26" s="5">
        <f t="shared" si="0"/>
        <v>6.8337135892530959E-3</v>
      </c>
      <c r="O26" s="5">
        <f t="shared" si="1"/>
        <v>4.891429819486703E-4</v>
      </c>
      <c r="P26" s="5">
        <f t="shared" si="2"/>
        <v>0</v>
      </c>
    </row>
    <row r="27" spans="1:16" ht="15.75" x14ac:dyDescent="0.3">
      <c r="A27" s="2">
        <f>'[1]Cash PLus'!$A$1</f>
        <v>45989</v>
      </c>
      <c r="B27" s="8" t="s">
        <v>67</v>
      </c>
      <c r="C27" t="s">
        <v>9</v>
      </c>
      <c r="D27" t="str">
        <f>IFERROR(_xlfn.XLOOKUP(B27,'[1]Cash PLus'!$B:$B,'[1]Cash PLus'!$D:$D,""),_xlfn.XLOOKUP("*"&amp;B27&amp;"*",'[1]Cash PLus'!$B:$B,'[1]Cash PLus'!$D:$D,"",2))</f>
        <v>Mezanino</v>
      </c>
      <c r="E27" t="s">
        <v>45</v>
      </c>
      <c r="F27" t="s">
        <v>46</v>
      </c>
      <c r="G27" t="s">
        <v>47</v>
      </c>
      <c r="H27" s="9">
        <f>IFERROR(_xlfn.XLOOKUP(B27,'[1]Cash PLus'!$B:$B,'[1]Cash PLus'!$F:$F,""),_xlfn.XLOOKUP("*"&amp;B27&amp;"*",'[1]Cash PLus'!$B:$B,'[1]Cash PLus'!$F:$F,"",2))</f>
        <v>0</v>
      </c>
      <c r="I27" s="9">
        <f>IFERROR(_xlfn.XLOOKUP(B27,'[1]Cash PLus'!$B:$B,'[1]Cash PLus'!$E:$E,""),_xlfn.XLOOKUP("*"&amp;B27&amp;"*",'[1]Cash PLus'!$B:$B,'[1]Cash PLus'!$E:$E,"",2))</f>
        <v>0.13050889633970711</v>
      </c>
      <c r="J27" t="str">
        <f>IFERROR(_xlfn.XLOOKUP(B27,'[1]Cash PLus'!$B:$B,'[1]Cash PLus'!$G:$G,""),_xlfn.XLOOKUP("*"&amp;B27&amp;"*",'[1]Cash PLus'!$B:$B,'[1]Cash PLus'!$G:$G,"",2))</f>
        <v>Corporativo</v>
      </c>
      <c r="K27" s="4">
        <f>_xlfn.XLOOKUP(B27,'[1]Cash PLus'!$B:$B,'[1]Cash PLus'!$C:$C,"")</f>
        <v>3.17073999300619E-2</v>
      </c>
      <c r="L27" t="s">
        <v>11</v>
      </c>
      <c r="M27" s="5">
        <f>'[1]Macro Info'!$D$10</f>
        <v>0.31786850774816866</v>
      </c>
      <c r="N27" s="5">
        <f t="shared" si="0"/>
        <v>1.0078783900343164E-2</v>
      </c>
      <c r="O27" s="5">
        <f t="shared" si="1"/>
        <v>1.3153709632801949E-3</v>
      </c>
      <c r="P27" s="5">
        <f t="shared" si="2"/>
        <v>0</v>
      </c>
    </row>
    <row r="28" spans="1:16" ht="15.75" x14ac:dyDescent="0.3">
      <c r="A28" s="2">
        <f>'[1]Cash PLus'!$A$1</f>
        <v>45989</v>
      </c>
      <c r="B28" s="8" t="s">
        <v>68</v>
      </c>
      <c r="C28" t="s">
        <v>9</v>
      </c>
      <c r="D28" t="str">
        <f>IFERROR(_xlfn.XLOOKUP(B28,'[1]Cash PLus'!$B:$B,'[1]Cash PLus'!$D:$D,""),_xlfn.XLOOKUP("*"&amp;B28&amp;"*",'[1]Cash PLus'!$B:$B,'[1]Cash PLus'!$D:$D,"",2))</f>
        <v>Mezanino</v>
      </c>
      <c r="E28" t="s">
        <v>45</v>
      </c>
      <c r="F28" t="s">
        <v>46</v>
      </c>
      <c r="G28" t="s">
        <v>47</v>
      </c>
      <c r="H28" s="9">
        <f>IFERROR(_xlfn.XLOOKUP(B28,'[1]Cash PLus'!$B:$B,'[1]Cash PLus'!$F:$F,""),_xlfn.XLOOKUP("*"&amp;B28&amp;"*",'[1]Cash PLus'!$B:$B,'[1]Cash PLus'!$F:$F,"",2))</f>
        <v>0</v>
      </c>
      <c r="I28" s="9">
        <f>IFERROR(_xlfn.XLOOKUP(B28,'[1]Cash PLus'!$B:$B,'[1]Cash PLus'!$E:$E,""),_xlfn.XLOOKUP("*"&amp;B28&amp;"*",'[1]Cash PLus'!$B:$B,'[1]Cash PLus'!$E:$E,"",2))</f>
        <v>0.44290166089531341</v>
      </c>
      <c r="J28" t="str">
        <f>IFERROR(_xlfn.XLOOKUP(B28,'[1]Cash PLus'!$B:$B,'[1]Cash PLus'!$G:$G,""),_xlfn.XLOOKUP("*"&amp;B28&amp;"*",'[1]Cash PLus'!$B:$B,'[1]Cash PLus'!$G:$G,"",2))</f>
        <v>Corporativo</v>
      </c>
      <c r="K28" s="4">
        <f>_xlfn.XLOOKUP(B28,'[1]Cash PLus'!$B:$B,'[1]Cash PLus'!$C:$C,"")</f>
        <v>0.10904055587636061</v>
      </c>
      <c r="L28" t="s">
        <v>11</v>
      </c>
      <c r="M28" s="5">
        <f>'[1]Macro Info'!$D$10</f>
        <v>0.31786850774816866</v>
      </c>
      <c r="N28" s="5">
        <f t="shared" si="0"/>
        <v>3.4660558780449546E-2</v>
      </c>
      <c r="O28" s="5">
        <f t="shared" si="1"/>
        <v>1.5351219051420742E-2</v>
      </c>
      <c r="P28" s="5">
        <f t="shared" si="2"/>
        <v>0</v>
      </c>
    </row>
    <row r="29" spans="1:16" x14ac:dyDescent="0.25">
      <c r="A29" s="2">
        <v>46002</v>
      </c>
      <c r="B29" s="3" t="str">
        <f>[1]Megeve!B3</f>
        <v>MULTIPLIKE FIDC SENIOR</v>
      </c>
      <c r="C29" t="s">
        <v>9</v>
      </c>
      <c r="D29" t="s">
        <v>12</v>
      </c>
      <c r="E29" t="s">
        <v>69</v>
      </c>
      <c r="G29" t="s">
        <v>29</v>
      </c>
      <c r="H29" s="9">
        <v>2.0000000000000001E-4</v>
      </c>
      <c r="I29" s="9">
        <v>0.40329999999999999</v>
      </c>
      <c r="J29" t="s">
        <v>17</v>
      </c>
      <c r="K29" s="4">
        <f>[1]Megeve!G3</f>
        <v>9.1334125987378695E-2</v>
      </c>
      <c r="L29" t="s">
        <v>23</v>
      </c>
      <c r="M29" s="5">
        <v>0.28699999999999998</v>
      </c>
      <c r="N29" s="5">
        <f t="shared" si="0"/>
        <v>2.6212894158377683E-2</v>
      </c>
      <c r="O29" s="5">
        <f t="shared" si="1"/>
        <v>1.0571660214073719E-2</v>
      </c>
      <c r="P29" s="5">
        <f t="shared" si="2"/>
        <v>5.2425788316755371E-6</v>
      </c>
    </row>
    <row r="30" spans="1:16" x14ac:dyDescent="0.25">
      <c r="A30" s="2">
        <v>46002</v>
      </c>
      <c r="B30" s="3" t="str">
        <f>[1]Megeve!B4</f>
        <v>GAVEA OPEN FIDC SENIOR</v>
      </c>
      <c r="C30" t="s">
        <v>9</v>
      </c>
      <c r="D30" t="s">
        <v>12</v>
      </c>
      <c r="E30" t="s">
        <v>69</v>
      </c>
      <c r="G30" t="s">
        <v>70</v>
      </c>
      <c r="H30" s="9">
        <v>2.0000000000000001E-4</v>
      </c>
      <c r="I30" s="9">
        <v>0.4108</v>
      </c>
      <c r="J30" t="s">
        <v>17</v>
      </c>
      <c r="K30" s="4">
        <f>[1]Megeve!G4</f>
        <v>7.359327740997218E-2</v>
      </c>
      <c r="L30" t="s">
        <v>23</v>
      </c>
      <c r="M30" s="5">
        <v>0.28699999999999998</v>
      </c>
      <c r="N30" s="5">
        <f t="shared" si="0"/>
        <v>2.1121270616662014E-2</v>
      </c>
      <c r="O30" s="5">
        <f t="shared" si="1"/>
        <v>8.6766179693247552E-3</v>
      </c>
      <c r="P30" s="5">
        <f t="shared" si="2"/>
        <v>4.2242541233324029E-6</v>
      </c>
    </row>
    <row r="31" spans="1:16" x14ac:dyDescent="0.25">
      <c r="A31" s="2">
        <v>46002</v>
      </c>
      <c r="B31" s="3" t="str">
        <f>[1]Megeve!B5</f>
        <v>BMA FIDC SENIOR</v>
      </c>
      <c r="C31" t="s">
        <v>9</v>
      </c>
      <c r="D31" t="s">
        <v>12</v>
      </c>
      <c r="E31" t="s">
        <v>69</v>
      </c>
      <c r="G31" t="s">
        <v>71</v>
      </c>
      <c r="H31" s="9">
        <v>2.2000000000000001E-3</v>
      </c>
      <c r="I31" s="9">
        <v>0.41649999999999998</v>
      </c>
      <c r="J31" t="s">
        <v>17</v>
      </c>
      <c r="K31" s="4">
        <f>[1]Megeve!G5</f>
        <v>6.9452369455321419E-2</v>
      </c>
      <c r="L31" t="s">
        <v>23</v>
      </c>
      <c r="M31" s="5">
        <v>0.28699999999999998</v>
      </c>
      <c r="N31" s="5">
        <f t="shared" si="0"/>
        <v>1.9932830033677247E-2</v>
      </c>
      <c r="O31" s="5">
        <f t="shared" si="1"/>
        <v>8.3020237090265722E-3</v>
      </c>
      <c r="P31" s="5">
        <f t="shared" si="2"/>
        <v>4.3852226074089949E-5</v>
      </c>
    </row>
    <row r="32" spans="1:16" x14ac:dyDescent="0.25">
      <c r="A32" s="2">
        <v>46002</v>
      </c>
      <c r="B32" s="3" t="str">
        <f>[1]Megeve!B6</f>
        <v>OPHIR FIDC SÊNIOR</v>
      </c>
      <c r="C32" t="s">
        <v>9</v>
      </c>
      <c r="D32" t="s">
        <v>12</v>
      </c>
      <c r="E32" t="s">
        <v>69</v>
      </c>
      <c r="G32" t="s">
        <v>72</v>
      </c>
      <c r="H32" s="9">
        <v>1.6899999999999998E-2</v>
      </c>
      <c r="I32" s="9">
        <v>0.3342</v>
      </c>
      <c r="J32" t="s">
        <v>17</v>
      </c>
      <c r="K32" s="4">
        <f>[1]Megeve!G6</f>
        <v>6.8705546240052831E-2</v>
      </c>
      <c r="L32" t="s">
        <v>23</v>
      </c>
      <c r="M32" s="5">
        <v>0.28699999999999998</v>
      </c>
      <c r="N32" s="5">
        <f t="shared" si="0"/>
        <v>1.9718491770895161E-2</v>
      </c>
      <c r="O32" s="5">
        <f t="shared" si="1"/>
        <v>6.5899199498331631E-3</v>
      </c>
      <c r="P32" s="5">
        <f t="shared" si="2"/>
        <v>3.3324251092812818E-4</v>
      </c>
    </row>
    <row r="33" spans="1:16" x14ac:dyDescent="0.25">
      <c r="A33" s="2">
        <v>46002</v>
      </c>
      <c r="B33" s="3" t="str">
        <f>[1]Megeve!B7</f>
        <v>OXSS FIDC SÊNIOR</v>
      </c>
      <c r="C33" t="s">
        <v>9</v>
      </c>
      <c r="D33" t="s">
        <v>12</v>
      </c>
      <c r="E33" t="s">
        <v>69</v>
      </c>
      <c r="G33" t="s">
        <v>72</v>
      </c>
      <c r="H33" s="9">
        <v>1.2699999999999999E-2</v>
      </c>
      <c r="I33" s="9">
        <v>0.37190000000000001</v>
      </c>
      <c r="J33" t="s">
        <v>17</v>
      </c>
      <c r="K33" s="4">
        <f>[1]Megeve!G7</f>
        <v>6.3293848755279186E-2</v>
      </c>
      <c r="L33" t="s">
        <v>23</v>
      </c>
      <c r="M33" s="5">
        <v>0.28699999999999998</v>
      </c>
      <c r="N33" s="5">
        <f t="shared" si="0"/>
        <v>1.8165334592765123E-2</v>
      </c>
      <c r="O33" s="5">
        <f t="shared" si="1"/>
        <v>6.7556879350493494E-3</v>
      </c>
      <c r="P33" s="5">
        <f t="shared" si="2"/>
        <v>2.3069974932811706E-4</v>
      </c>
    </row>
    <row r="34" spans="1:16" x14ac:dyDescent="0.25">
      <c r="A34" s="2">
        <v>46002</v>
      </c>
      <c r="B34" s="3" t="str">
        <f>[1]Megeve!B8</f>
        <v>GFM FIDC SENIOR</v>
      </c>
      <c r="C34" t="s">
        <v>9</v>
      </c>
      <c r="D34" t="s">
        <v>12</v>
      </c>
      <c r="E34" t="s">
        <v>69</v>
      </c>
      <c r="G34" t="s">
        <v>73</v>
      </c>
      <c r="H34" s="9">
        <v>3.6400000000000002E-2</v>
      </c>
      <c r="I34" s="9">
        <v>0.39560000000000001</v>
      </c>
      <c r="J34" t="s">
        <v>17</v>
      </c>
      <c r="K34" s="4">
        <f>[1]Megeve!G8</f>
        <v>6.2611145092259679E-2</v>
      </c>
      <c r="L34" t="s">
        <v>23</v>
      </c>
      <c r="M34" s="5">
        <v>0.28699999999999998</v>
      </c>
      <c r="N34" s="5">
        <f t="shared" si="0"/>
        <v>1.7969398641478528E-2</v>
      </c>
      <c r="O34" s="5">
        <f t="shared" si="1"/>
        <v>7.1086941025689052E-3</v>
      </c>
      <c r="P34" s="5">
        <f t="shared" si="2"/>
        <v>6.5408611054981844E-4</v>
      </c>
    </row>
    <row r="35" spans="1:16" x14ac:dyDescent="0.25">
      <c r="A35" s="2">
        <v>46002</v>
      </c>
      <c r="B35" s="3" t="str">
        <f>[1]Megeve!B9</f>
        <v>RAIZES FIDC SENIOR</v>
      </c>
      <c r="C35" t="s">
        <v>9</v>
      </c>
      <c r="D35" t="s">
        <v>12</v>
      </c>
      <c r="E35" t="s">
        <v>69</v>
      </c>
      <c r="G35" t="s">
        <v>74</v>
      </c>
      <c r="H35" s="9">
        <v>5.2200000000000003E-2</v>
      </c>
      <c r="I35" s="9">
        <v>0.46739999999999998</v>
      </c>
      <c r="J35" t="s">
        <v>17</v>
      </c>
      <c r="K35" s="4">
        <f>[1]Megeve!G9</f>
        <v>5.4034294341342021E-2</v>
      </c>
      <c r="L35" t="s">
        <v>23</v>
      </c>
      <c r="M35" s="5">
        <v>0.28699999999999998</v>
      </c>
      <c r="N35" s="5">
        <f t="shared" si="0"/>
        <v>1.5507842475965159E-2</v>
      </c>
      <c r="O35" s="5">
        <f t="shared" si="1"/>
        <v>7.2483655732661148E-3</v>
      </c>
      <c r="P35" s="5">
        <f t="shared" si="2"/>
        <v>8.0950937724538134E-4</v>
      </c>
    </row>
    <row r="36" spans="1:16" x14ac:dyDescent="0.25">
      <c r="A36" s="2">
        <v>46002</v>
      </c>
      <c r="B36" s="3" t="str">
        <f>[1]Megeve!B10</f>
        <v>SIFRA PLUS FIDC MULTISSEG</v>
      </c>
      <c r="C36" t="s">
        <v>9</v>
      </c>
      <c r="D36" t="s">
        <v>12</v>
      </c>
      <c r="E36" t="s">
        <v>69</v>
      </c>
      <c r="G36" t="s">
        <v>75</v>
      </c>
      <c r="H36" s="9">
        <v>1.8499999999999999E-2</v>
      </c>
      <c r="I36" s="9">
        <v>0.42130000000000001</v>
      </c>
      <c r="J36" t="s">
        <v>17</v>
      </c>
      <c r="K36" s="4">
        <f>[1]Megeve!G10</f>
        <v>5.2407511495173212E-2</v>
      </c>
      <c r="L36" t="s">
        <v>23</v>
      </c>
      <c r="M36" s="5">
        <v>0.28699999999999998</v>
      </c>
      <c r="N36" s="5">
        <f t="shared" si="0"/>
        <v>1.504095579911471E-2</v>
      </c>
      <c r="O36" s="5">
        <f t="shared" si="1"/>
        <v>6.3367546781670277E-3</v>
      </c>
      <c r="P36" s="5">
        <f t="shared" si="2"/>
        <v>2.7825768228362214E-4</v>
      </c>
    </row>
    <row r="37" spans="1:16" x14ac:dyDescent="0.25">
      <c r="A37" s="2">
        <v>46002</v>
      </c>
      <c r="B37" s="3" t="str">
        <f>[1]Megeve!B11</f>
        <v>UNIQUE AAA FIDC SENIOR</v>
      </c>
      <c r="C37" t="s">
        <v>9</v>
      </c>
      <c r="D37" t="s">
        <v>12</v>
      </c>
      <c r="E37" t="s">
        <v>69</v>
      </c>
      <c r="G37" t="s">
        <v>76</v>
      </c>
      <c r="H37" s="9">
        <v>2.23E-2</v>
      </c>
      <c r="I37" s="9">
        <v>0.58460000000000001</v>
      </c>
      <c r="J37" t="s">
        <v>17</v>
      </c>
      <c r="K37" s="4">
        <f>[1]Megeve!G11</f>
        <v>4.7817913605788118E-2</v>
      </c>
      <c r="L37" t="s">
        <v>23</v>
      </c>
      <c r="M37" s="5">
        <v>0.28699999999999998</v>
      </c>
      <c r="N37" s="5">
        <f t="shared" si="0"/>
        <v>1.3723741204861188E-2</v>
      </c>
      <c r="O37" s="5">
        <f t="shared" si="1"/>
        <v>8.0228991083618507E-3</v>
      </c>
      <c r="P37" s="5">
        <f t="shared" si="2"/>
        <v>3.0603942886840452E-4</v>
      </c>
    </row>
    <row r="38" spans="1:16" x14ac:dyDescent="0.25">
      <c r="A38" s="2">
        <v>46002</v>
      </c>
      <c r="B38" s="3" t="str">
        <f>[1]Megeve!B12</f>
        <v>ATF EXCLUSIVO FIDC SENIOR</v>
      </c>
      <c r="C38" t="s">
        <v>9</v>
      </c>
      <c r="D38" t="s">
        <v>12</v>
      </c>
      <c r="E38" t="s">
        <v>69</v>
      </c>
      <c r="G38" t="s">
        <v>72</v>
      </c>
      <c r="H38" s="9">
        <v>1.18E-2</v>
      </c>
      <c r="I38" s="9">
        <v>0.75580000000000003</v>
      </c>
      <c r="J38" t="s">
        <v>17</v>
      </c>
      <c r="K38" s="4">
        <f>[1]Megeve!G12</f>
        <v>4.5058450971260766E-2</v>
      </c>
      <c r="L38" t="s">
        <v>23</v>
      </c>
      <c r="M38" s="5">
        <v>0.28699999999999998</v>
      </c>
      <c r="N38" s="5">
        <f t="shared" si="0"/>
        <v>1.2931775428751839E-2</v>
      </c>
      <c r="O38" s="5">
        <f t="shared" si="1"/>
        <v>9.7738358690506403E-3</v>
      </c>
      <c r="P38" s="5">
        <f t="shared" si="2"/>
        <v>1.5259495005927169E-4</v>
      </c>
    </row>
    <row r="39" spans="1:16" x14ac:dyDescent="0.25">
      <c r="A39" s="2">
        <v>46002</v>
      </c>
      <c r="B39" s="3" t="str">
        <f>[1]Megeve!B13</f>
        <v>AUDAX FIDC SÊNIOR</v>
      </c>
      <c r="C39" t="s">
        <v>9</v>
      </c>
      <c r="D39" t="s">
        <v>12</v>
      </c>
      <c r="E39" t="s">
        <v>69</v>
      </c>
      <c r="G39" t="s">
        <v>72</v>
      </c>
      <c r="H39" s="9">
        <v>3.5000000000000001E-3</v>
      </c>
      <c r="I39" s="9">
        <v>0.43390000000000001</v>
      </c>
      <c r="J39" t="s">
        <v>17</v>
      </c>
      <c r="K39" s="4">
        <f>[1]Megeve!G13</f>
        <v>4.171710114189256E-2</v>
      </c>
      <c r="L39" t="s">
        <v>23</v>
      </c>
      <c r="M39" s="5">
        <v>0.28699999999999998</v>
      </c>
      <c r="N39" s="5">
        <f t="shared" si="0"/>
        <v>1.1972808027723164E-2</v>
      </c>
      <c r="O39" s="5">
        <f t="shared" si="1"/>
        <v>5.1950014032290806E-3</v>
      </c>
      <c r="P39" s="5">
        <f t="shared" si="2"/>
        <v>4.1904828097031076E-5</v>
      </c>
    </row>
    <row r="40" spans="1:16" x14ac:dyDescent="0.25">
      <c r="A40" s="2">
        <v>46002</v>
      </c>
      <c r="B40" s="3" t="str">
        <f>[1]Megeve!B14</f>
        <v>MR FIDC SÊNIOR</v>
      </c>
      <c r="C40" t="s">
        <v>9</v>
      </c>
      <c r="D40" t="s">
        <v>12</v>
      </c>
      <c r="E40" t="s">
        <v>69</v>
      </c>
      <c r="G40" t="s">
        <v>72</v>
      </c>
      <c r="H40" s="9">
        <v>6.5000000000000002E-2</v>
      </c>
      <c r="I40" s="9">
        <v>0.43440000000000001</v>
      </c>
      <c r="J40" t="s">
        <v>17</v>
      </c>
      <c r="K40" s="4">
        <f>[1]Megeve!G14</f>
        <v>3.930097657681212E-2</v>
      </c>
      <c r="L40" t="s">
        <v>23</v>
      </c>
      <c r="M40" s="5">
        <v>0.28699999999999998</v>
      </c>
      <c r="N40" s="5">
        <f t="shared" si="0"/>
        <v>1.1279380277545078E-2</v>
      </c>
      <c r="O40" s="5">
        <f t="shared" si="1"/>
        <v>4.899762792565582E-3</v>
      </c>
      <c r="P40" s="5">
        <f t="shared" si="2"/>
        <v>7.3315971804043011E-4</v>
      </c>
    </row>
    <row r="41" spans="1:16" x14ac:dyDescent="0.25">
      <c r="A41" s="2">
        <v>46002</v>
      </c>
      <c r="B41" s="3" t="str">
        <f>[1]Megeve!B15</f>
        <v>VALECRED FIDC SENIOR</v>
      </c>
      <c r="C41" t="s">
        <v>9</v>
      </c>
      <c r="D41" t="s">
        <v>12</v>
      </c>
      <c r="E41" t="s">
        <v>69</v>
      </c>
      <c r="G41" t="s">
        <v>72</v>
      </c>
      <c r="H41" s="9">
        <v>6.1800000000000001E-2</v>
      </c>
      <c r="I41" s="9">
        <v>0.59789999999999999</v>
      </c>
      <c r="J41" t="s">
        <v>17</v>
      </c>
      <c r="K41" s="4">
        <f>[1]Megeve!G15</f>
        <v>3.8837163978810388E-2</v>
      </c>
      <c r="L41" t="s">
        <v>23</v>
      </c>
      <c r="M41" s="5">
        <v>0.28699999999999998</v>
      </c>
      <c r="N41" s="5">
        <f t="shared" si="0"/>
        <v>1.114626606191858E-2</v>
      </c>
      <c r="O41" s="5">
        <f t="shared" si="1"/>
        <v>6.6643524784211188E-3</v>
      </c>
      <c r="P41" s="5">
        <f t="shared" si="2"/>
        <v>6.8883924262656826E-4</v>
      </c>
    </row>
    <row r="42" spans="1:16" x14ac:dyDescent="0.25">
      <c r="A42" s="2">
        <v>46002</v>
      </c>
      <c r="B42" s="3" t="str">
        <f>[1]Megeve!B16</f>
        <v>MULTIPLIX FIDC SENIOR</v>
      </c>
      <c r="C42" t="s">
        <v>9</v>
      </c>
      <c r="D42" t="s">
        <v>12</v>
      </c>
      <c r="E42" t="s">
        <v>69</v>
      </c>
      <c r="G42" t="s">
        <v>77</v>
      </c>
      <c r="H42" s="9">
        <v>5.4300000000000001E-2</v>
      </c>
      <c r="I42" s="9">
        <v>0.53269999999999995</v>
      </c>
      <c r="J42" t="s">
        <v>17</v>
      </c>
      <c r="K42" s="4">
        <f>[1]Megeve!G16</f>
        <v>3.8268523840010817E-2</v>
      </c>
      <c r="L42" t="s">
        <v>23</v>
      </c>
      <c r="M42" s="5">
        <v>0.28699999999999998</v>
      </c>
      <c r="N42" s="5">
        <f t="shared" si="0"/>
        <v>1.0983066342083103E-2</v>
      </c>
      <c r="O42" s="5">
        <f t="shared" si="1"/>
        <v>5.8506794404276684E-3</v>
      </c>
      <c r="P42" s="5">
        <f t="shared" si="2"/>
        <v>5.9638050237511252E-4</v>
      </c>
    </row>
    <row r="43" spans="1:16" x14ac:dyDescent="0.25">
      <c r="A43" s="2">
        <v>46002</v>
      </c>
      <c r="B43" s="3" t="str">
        <f>[1]Megeve!B17</f>
        <v>SIGMA CREDIT FIDC</v>
      </c>
      <c r="C43" t="s">
        <v>9</v>
      </c>
      <c r="D43" t="s">
        <v>12</v>
      </c>
      <c r="E43" t="s">
        <v>69</v>
      </c>
      <c r="G43" t="s">
        <v>70</v>
      </c>
      <c r="H43" s="9">
        <v>0.11840000000000001</v>
      </c>
      <c r="I43" s="9">
        <v>0.57179999999999997</v>
      </c>
      <c r="J43" t="s">
        <v>17</v>
      </c>
      <c r="K43" s="4">
        <f>[1]Megeve!G17</f>
        <v>2.8376021380181232E-2</v>
      </c>
      <c r="L43" t="s">
        <v>23</v>
      </c>
      <c r="M43" s="5">
        <v>0.28699999999999998</v>
      </c>
      <c r="N43" s="5">
        <f t="shared" si="0"/>
        <v>8.1439181361120123E-3</v>
      </c>
      <c r="O43" s="5">
        <f t="shared" si="1"/>
        <v>4.6566923902288488E-3</v>
      </c>
      <c r="P43" s="5">
        <f t="shared" si="2"/>
        <v>9.6423990731566225E-4</v>
      </c>
    </row>
    <row r="44" spans="1:16" x14ac:dyDescent="0.25">
      <c r="A44" s="2">
        <v>46002</v>
      </c>
      <c r="B44" s="3" t="str">
        <f>[1]Megeve!B18</f>
        <v>APG FIDC SENIOR</v>
      </c>
      <c r="C44" t="s">
        <v>9</v>
      </c>
      <c r="D44" t="s">
        <v>12</v>
      </c>
      <c r="E44" t="s">
        <v>69</v>
      </c>
      <c r="G44" t="s">
        <v>78</v>
      </c>
      <c r="H44" s="9">
        <v>7.3000000000000001E-3</v>
      </c>
      <c r="I44" s="9">
        <v>0.52559999999999996</v>
      </c>
      <c r="J44" t="s">
        <v>17</v>
      </c>
      <c r="K44" s="4">
        <f>[1]Megeve!G18</f>
        <v>2.5957804814317396E-2</v>
      </c>
      <c r="L44" t="s">
        <v>23</v>
      </c>
      <c r="M44" s="5">
        <v>0.28699999999999998</v>
      </c>
      <c r="N44" s="5">
        <f t="shared" si="0"/>
        <v>7.449889981709092E-3</v>
      </c>
      <c r="O44" s="5">
        <f t="shared" si="1"/>
        <v>3.9156621743862982E-3</v>
      </c>
      <c r="P44" s="5">
        <f t="shared" si="2"/>
        <v>5.4384196866476374E-5</v>
      </c>
    </row>
    <row r="45" spans="1:16" x14ac:dyDescent="0.25">
      <c r="A45" s="2">
        <v>46002</v>
      </c>
      <c r="B45" s="3" t="str">
        <f>[1]Megeve!B19</f>
        <v>BARCELONA FIDC SÊNIOR</v>
      </c>
      <c r="C45" t="s">
        <v>9</v>
      </c>
      <c r="D45" t="s">
        <v>12</v>
      </c>
      <c r="E45" t="s">
        <v>69</v>
      </c>
      <c r="G45" t="s">
        <v>72</v>
      </c>
      <c r="H45" s="9">
        <v>8.6099999999999996E-2</v>
      </c>
      <c r="I45" s="9">
        <v>0.51090000000000002</v>
      </c>
      <c r="J45" t="s">
        <v>13</v>
      </c>
      <c r="K45" s="4">
        <f>[1]Megeve!G19</f>
        <v>2.5934620409429676E-2</v>
      </c>
      <c r="L45" t="s">
        <v>23</v>
      </c>
      <c r="M45" s="5">
        <v>0.28699999999999998</v>
      </c>
      <c r="N45" s="5">
        <f t="shared" si="0"/>
        <v>7.4432360575063163E-3</v>
      </c>
      <c r="O45" s="5">
        <f t="shared" si="1"/>
        <v>3.8027493017799771E-3</v>
      </c>
      <c r="P45" s="5">
        <f t="shared" si="2"/>
        <v>6.4086262455129378E-4</v>
      </c>
    </row>
    <row r="46" spans="1:16" x14ac:dyDescent="0.25">
      <c r="A46" s="2">
        <v>46002</v>
      </c>
      <c r="B46" s="3" t="str">
        <f>[1]Megeve!B20</f>
        <v>APPALOOSA FIDC</v>
      </c>
      <c r="C46" t="s">
        <v>9</v>
      </c>
      <c r="D46" t="s">
        <v>12</v>
      </c>
      <c r="E46" t="s">
        <v>69</v>
      </c>
      <c r="G46" t="s">
        <v>79</v>
      </c>
      <c r="H46" s="9">
        <v>9.4000000000000004E-3</v>
      </c>
      <c r="I46" s="9">
        <v>0.38840000000000002</v>
      </c>
      <c r="J46" t="s">
        <v>17</v>
      </c>
      <c r="K46" s="4">
        <f>[1]Megeve!G20</f>
        <v>2.2339726806820479E-2</v>
      </c>
      <c r="L46" t="s">
        <v>23</v>
      </c>
      <c r="M46" s="5">
        <v>0.28699999999999998</v>
      </c>
      <c r="N46" s="5">
        <f t="shared" si="0"/>
        <v>6.4115015935574766E-3</v>
      </c>
      <c r="O46" s="5">
        <f t="shared" si="1"/>
        <v>2.4902272189377241E-3</v>
      </c>
      <c r="P46" s="5">
        <f t="shared" si="2"/>
        <v>6.0268114979440282E-5</v>
      </c>
    </row>
    <row r="47" spans="1:16" x14ac:dyDescent="0.25">
      <c r="A47" s="2">
        <v>46002</v>
      </c>
      <c r="B47" s="3" t="str">
        <f>[1]Megeve!B21</f>
        <v>VENTURA FIDC SENIOR</v>
      </c>
      <c r="C47" t="s">
        <v>9</v>
      </c>
      <c r="D47" t="s">
        <v>12</v>
      </c>
      <c r="E47" t="s">
        <v>69</v>
      </c>
      <c r="G47" t="s">
        <v>72</v>
      </c>
      <c r="H47" s="9">
        <v>3.1199999999999999E-2</v>
      </c>
      <c r="I47" s="9">
        <v>0.377</v>
      </c>
      <c r="J47" t="s">
        <v>17</v>
      </c>
      <c r="K47" s="4">
        <f>[1]Megeve!G21</f>
        <v>1.6708960633913954E-2</v>
      </c>
      <c r="L47" t="s">
        <v>23</v>
      </c>
      <c r="M47" s="5">
        <v>0.28699999999999998</v>
      </c>
      <c r="N47" s="5">
        <f t="shared" si="0"/>
        <v>4.7954717019333048E-3</v>
      </c>
      <c r="O47" s="5">
        <f t="shared" si="1"/>
        <v>1.807892831628856E-3</v>
      </c>
      <c r="P47" s="5">
        <f t="shared" si="2"/>
        <v>1.4961871710031911E-4</v>
      </c>
    </row>
    <row r="48" spans="1:16" x14ac:dyDescent="0.25">
      <c r="A48" s="2">
        <v>46002</v>
      </c>
      <c r="B48" s="3" t="str">
        <f>[1]Megeve!B22</f>
        <v>RDF FIDC SR1</v>
      </c>
      <c r="C48" t="s">
        <v>9</v>
      </c>
      <c r="D48" t="s">
        <v>12</v>
      </c>
      <c r="E48" t="s">
        <v>69</v>
      </c>
      <c r="G48" t="s">
        <v>72</v>
      </c>
      <c r="H48" s="9">
        <v>3.32E-2</v>
      </c>
      <c r="I48" s="9">
        <v>0.41420000000000001</v>
      </c>
      <c r="J48" t="s">
        <v>17</v>
      </c>
      <c r="K48" s="4">
        <f>[1]Megeve!G22</f>
        <v>5.8731028804751163E-3</v>
      </c>
      <c r="L48" t="s">
        <v>23</v>
      </c>
      <c r="M48" s="5">
        <v>0.28699999999999998</v>
      </c>
      <c r="N48" s="5">
        <f t="shared" si="0"/>
        <v>1.6855805266963583E-3</v>
      </c>
      <c r="O48" s="5">
        <f t="shared" si="1"/>
        <v>6.9816745415763161E-4</v>
      </c>
      <c r="P48" s="5">
        <f t="shared" si="2"/>
        <v>5.5961273486319096E-5</v>
      </c>
    </row>
    <row r="49" spans="1:16" x14ac:dyDescent="0.25">
      <c r="A49" s="2">
        <v>46002</v>
      </c>
      <c r="B49" s="3" t="s">
        <v>25</v>
      </c>
      <c r="C49" t="s">
        <v>9</v>
      </c>
      <c r="D49" t="s">
        <v>12</v>
      </c>
      <c r="E49" t="s">
        <v>45</v>
      </c>
      <c r="F49" t="s">
        <v>46</v>
      </c>
      <c r="G49" t="s">
        <v>47</v>
      </c>
      <c r="H49" s="9">
        <f>'[1]Macro Info'!G3</f>
        <v>0</v>
      </c>
      <c r="I49" s="9">
        <f>'[1]Macro Info'!F3</f>
        <v>0.73109999999999997</v>
      </c>
      <c r="J49" t="s">
        <v>13</v>
      </c>
      <c r="K49" s="5">
        <v>9.5799999999999996E-2</v>
      </c>
      <c r="N49" s="5">
        <f t="shared" ref="N49:N61" si="3">K49</f>
        <v>9.5799999999999996E-2</v>
      </c>
      <c r="O49" s="5">
        <f t="shared" si="1"/>
        <v>7.0039379999999998E-2</v>
      </c>
      <c r="P49" s="5">
        <f t="shared" si="2"/>
        <v>0</v>
      </c>
    </row>
    <row r="50" spans="1:16" x14ac:dyDescent="0.25">
      <c r="A50" s="2">
        <v>46002</v>
      </c>
      <c r="B50" s="3" t="s">
        <v>26</v>
      </c>
      <c r="C50" t="s">
        <v>9</v>
      </c>
      <c r="D50" t="s">
        <v>12</v>
      </c>
      <c r="E50" t="s">
        <v>45</v>
      </c>
      <c r="F50" t="s">
        <v>46</v>
      </c>
      <c r="G50" t="s">
        <v>80</v>
      </c>
      <c r="H50" s="9">
        <f>'[1]Macro Info'!G5</f>
        <v>1.4E-2</v>
      </c>
      <c r="I50" s="9">
        <f>'[1]Macro Info'!F5</f>
        <v>0.46500000000000002</v>
      </c>
      <c r="J50" t="s">
        <v>17</v>
      </c>
      <c r="K50" s="5">
        <v>2.8000000000000001E-2</v>
      </c>
      <c r="N50" s="5">
        <f t="shared" si="3"/>
        <v>2.8000000000000001E-2</v>
      </c>
      <c r="O50" s="5">
        <f t="shared" si="1"/>
        <v>1.302E-2</v>
      </c>
      <c r="P50" s="5">
        <f t="shared" si="2"/>
        <v>3.9200000000000004E-4</v>
      </c>
    </row>
    <row r="51" spans="1:16" x14ac:dyDescent="0.25">
      <c r="A51" s="2">
        <v>46002</v>
      </c>
      <c r="B51" s="3" t="s">
        <v>27</v>
      </c>
      <c r="C51" t="s">
        <v>9</v>
      </c>
      <c r="D51" t="s">
        <v>10</v>
      </c>
      <c r="E51" t="s">
        <v>45</v>
      </c>
      <c r="F51" t="s">
        <v>46</v>
      </c>
      <c r="G51" t="s">
        <v>70</v>
      </c>
      <c r="H51" s="9">
        <f>'[1]Macro Info'!G8</f>
        <v>2.7000000000000001E-3</v>
      </c>
      <c r="I51" s="9">
        <f>'[1]Macro Info'!F6</f>
        <v>0.40379999999999999</v>
      </c>
      <c r="J51" t="s">
        <v>17</v>
      </c>
      <c r="K51" s="5">
        <v>2.63E-2</v>
      </c>
      <c r="N51" s="5">
        <f t="shared" si="3"/>
        <v>2.63E-2</v>
      </c>
      <c r="O51" s="5">
        <f t="shared" si="1"/>
        <v>1.061994E-2</v>
      </c>
      <c r="P51" s="5">
        <f t="shared" si="2"/>
        <v>7.1009999999999999E-5</v>
      </c>
    </row>
    <row r="52" spans="1:16" x14ac:dyDescent="0.25">
      <c r="A52" s="2">
        <v>46002</v>
      </c>
      <c r="B52" s="3" t="s">
        <v>28</v>
      </c>
      <c r="C52" t="s">
        <v>9</v>
      </c>
      <c r="D52" t="s">
        <v>12</v>
      </c>
      <c r="E52" t="s">
        <v>45</v>
      </c>
      <c r="F52" t="s">
        <v>81</v>
      </c>
      <c r="G52" t="s">
        <v>82</v>
      </c>
      <c r="H52" s="9">
        <f>'[1]Macro Info'!G7</f>
        <v>0</v>
      </c>
      <c r="I52" s="9">
        <f>'[1]Macro Info'!F7</f>
        <v>0.4264</v>
      </c>
      <c r="J52" t="s">
        <v>17</v>
      </c>
      <c r="K52" s="5">
        <v>3.2199999999999999E-2</v>
      </c>
      <c r="N52" s="5">
        <f t="shared" si="3"/>
        <v>3.2199999999999999E-2</v>
      </c>
      <c r="O52" s="5">
        <f t="shared" si="1"/>
        <v>1.373008E-2</v>
      </c>
      <c r="P52" s="5">
        <f t="shared" si="2"/>
        <v>0</v>
      </c>
    </row>
    <row r="53" spans="1:16" x14ac:dyDescent="0.25">
      <c r="A53" s="2">
        <v>46002</v>
      </c>
      <c r="B53" s="3" t="s">
        <v>29</v>
      </c>
      <c r="C53" t="s">
        <v>9</v>
      </c>
      <c r="D53" t="s">
        <v>12</v>
      </c>
      <c r="E53" t="s">
        <v>45</v>
      </c>
      <c r="F53" t="s">
        <v>46</v>
      </c>
      <c r="G53" t="s">
        <v>83</v>
      </c>
      <c r="H53" s="9">
        <f>'[1]Macro Info'!G6</f>
        <v>1E-4</v>
      </c>
      <c r="I53" s="9">
        <f>'[1]Macro Info'!F8</f>
        <v>0.40460000000000002</v>
      </c>
      <c r="J53" t="s">
        <v>17</v>
      </c>
      <c r="K53" s="5">
        <v>7.6E-3</v>
      </c>
      <c r="N53" s="5">
        <f t="shared" si="3"/>
        <v>7.6E-3</v>
      </c>
      <c r="O53" s="5">
        <f t="shared" si="1"/>
        <v>3.0749600000000003E-3</v>
      </c>
      <c r="P53" s="5">
        <f t="shared" si="2"/>
        <v>7.6000000000000003E-7</v>
      </c>
    </row>
    <row r="54" spans="1:16" x14ac:dyDescent="0.25">
      <c r="A54" s="2">
        <v>46002</v>
      </c>
      <c r="B54" s="3" t="s">
        <v>30</v>
      </c>
      <c r="C54" t="s">
        <v>9</v>
      </c>
      <c r="D54" t="s">
        <v>12</v>
      </c>
      <c r="E54" t="s">
        <v>45</v>
      </c>
      <c r="F54" t="s">
        <v>81</v>
      </c>
      <c r="G54" t="s">
        <v>84</v>
      </c>
      <c r="H54" s="9">
        <f>'[1]Macro Info'!G9</f>
        <v>6.4999999999999997E-3</v>
      </c>
      <c r="I54" s="9">
        <f>'[1]Macro Info'!F9</f>
        <v>0.3115</v>
      </c>
      <c r="J54" t="s">
        <v>17</v>
      </c>
      <c r="K54" s="5">
        <v>3.1899999999999998E-2</v>
      </c>
      <c r="N54" s="5">
        <f t="shared" si="3"/>
        <v>3.1899999999999998E-2</v>
      </c>
      <c r="O54" s="5">
        <f t="shared" si="1"/>
        <v>9.9368499999999988E-3</v>
      </c>
      <c r="P54" s="5">
        <f t="shared" si="2"/>
        <v>2.0734999999999997E-4</v>
      </c>
    </row>
    <row r="55" spans="1:16" x14ac:dyDescent="0.25">
      <c r="A55" s="2">
        <v>46002</v>
      </c>
      <c r="B55" s="3" t="s">
        <v>31</v>
      </c>
      <c r="C55" t="s">
        <v>9</v>
      </c>
      <c r="D55" t="s">
        <v>12</v>
      </c>
      <c r="E55" t="s">
        <v>45</v>
      </c>
      <c r="F55" t="s">
        <v>85</v>
      </c>
      <c r="G55" t="s">
        <v>86</v>
      </c>
      <c r="H55" s="9">
        <f>'[1]Macro Info'!G12</f>
        <v>0</v>
      </c>
      <c r="I55" s="9">
        <f>'[1]Macro Info'!F12</f>
        <v>0.53549999999999998</v>
      </c>
      <c r="J55" t="s">
        <v>17</v>
      </c>
      <c r="K55" s="5">
        <v>1.5900000000000001E-2</v>
      </c>
      <c r="N55" s="5">
        <f t="shared" si="3"/>
        <v>1.5900000000000001E-2</v>
      </c>
      <c r="O55" s="5">
        <f t="shared" si="1"/>
        <v>8.5144499999999998E-3</v>
      </c>
      <c r="P55" s="5">
        <f t="shared" si="2"/>
        <v>0</v>
      </c>
    </row>
    <row r="56" spans="1:16" x14ac:dyDescent="0.25">
      <c r="A56" s="2">
        <v>46002</v>
      </c>
      <c r="B56" s="6" t="s">
        <v>32</v>
      </c>
      <c r="C56" t="s">
        <v>9</v>
      </c>
      <c r="D56" t="s">
        <v>12</v>
      </c>
      <c r="E56" t="s">
        <v>45</v>
      </c>
      <c r="F56" t="s">
        <v>87</v>
      </c>
      <c r="G56" t="s">
        <v>88</v>
      </c>
      <c r="H56" s="9">
        <f>'[1]Macro Info'!G13</f>
        <v>4.7000000000000002E-3</v>
      </c>
      <c r="I56" s="9">
        <f>'[1]Macro Info'!F13</f>
        <v>0.23100000000000001</v>
      </c>
      <c r="J56" t="s">
        <v>33</v>
      </c>
      <c r="K56" s="5">
        <v>1.54E-2</v>
      </c>
      <c r="N56" s="5">
        <f t="shared" si="3"/>
        <v>1.54E-2</v>
      </c>
      <c r="O56" s="5">
        <f t="shared" si="1"/>
        <v>3.5574000000000005E-3</v>
      </c>
      <c r="P56" s="5">
        <f t="shared" si="2"/>
        <v>7.2380000000000008E-5</v>
      </c>
    </row>
    <row r="57" spans="1:16" x14ac:dyDescent="0.25">
      <c r="A57" s="2">
        <v>46002</v>
      </c>
      <c r="B57" s="6" t="s">
        <v>34</v>
      </c>
      <c r="C57" t="s">
        <v>9</v>
      </c>
      <c r="D57" t="s">
        <v>10</v>
      </c>
      <c r="E57" t="s">
        <v>45</v>
      </c>
      <c r="F57" t="s">
        <v>87</v>
      </c>
      <c r="G57" t="s">
        <v>88</v>
      </c>
      <c r="H57" s="9">
        <f>'[1]Macro Info'!G14</f>
        <v>4.7000000000000002E-3</v>
      </c>
      <c r="I57" s="9">
        <f>'[1]Macro Info'!F14</f>
        <v>0.128</v>
      </c>
      <c r="J57" t="s">
        <v>33</v>
      </c>
      <c r="K57" s="5">
        <v>1.5299999999999999E-2</v>
      </c>
      <c r="N57" s="5">
        <f t="shared" si="3"/>
        <v>1.5299999999999999E-2</v>
      </c>
      <c r="O57" s="5">
        <f t="shared" si="1"/>
        <v>1.9583999999999999E-3</v>
      </c>
      <c r="P57" s="5">
        <f t="shared" si="2"/>
        <v>7.1909999999999994E-5</v>
      </c>
    </row>
    <row r="58" spans="1:16" x14ac:dyDescent="0.25">
      <c r="A58" s="2">
        <v>46002</v>
      </c>
      <c r="B58" s="6" t="s">
        <v>35</v>
      </c>
      <c r="C58" t="s">
        <v>9</v>
      </c>
      <c r="D58" t="s">
        <v>12</v>
      </c>
      <c r="E58" t="s">
        <v>45</v>
      </c>
      <c r="F58" t="s">
        <v>46</v>
      </c>
      <c r="G58" t="s">
        <v>89</v>
      </c>
      <c r="H58" s="9">
        <f>'[1]Macro Info'!G17</f>
        <v>3.3000000000000002E-2</v>
      </c>
      <c r="I58" s="9">
        <f>'[1]Macro Info'!F15</f>
        <v>0.34</v>
      </c>
      <c r="J58" t="s">
        <v>17</v>
      </c>
      <c r="K58" s="5">
        <v>3.0700000000000002E-2</v>
      </c>
      <c r="N58" s="5">
        <f t="shared" si="3"/>
        <v>3.0700000000000002E-2</v>
      </c>
      <c r="O58" s="5">
        <f t="shared" si="1"/>
        <v>1.0438000000000001E-2</v>
      </c>
      <c r="P58" s="5">
        <f t="shared" si="2"/>
        <v>1.0131000000000001E-3</v>
      </c>
    </row>
    <row r="59" spans="1:16" x14ac:dyDescent="0.25">
      <c r="A59" s="2">
        <v>46002</v>
      </c>
      <c r="B59" s="6" t="s">
        <v>90</v>
      </c>
      <c r="C59" t="s">
        <v>9</v>
      </c>
      <c r="D59" t="s">
        <v>12</v>
      </c>
      <c r="E59" t="s">
        <v>69</v>
      </c>
      <c r="F59" t="s">
        <v>46</v>
      </c>
      <c r="G59" t="s">
        <v>82</v>
      </c>
      <c r="H59" s="9">
        <f>'[1]Macro Info'!G16</f>
        <v>1.2699999999999999E-2</v>
      </c>
      <c r="I59" s="9">
        <f>'[1]Macro Info'!F16</f>
        <v>0.36880000000000002</v>
      </c>
      <c r="J59" t="s">
        <v>17</v>
      </c>
      <c r="K59" s="5">
        <v>3.0700000000000002E-2</v>
      </c>
      <c r="N59" s="5">
        <f t="shared" si="3"/>
        <v>3.0700000000000002E-2</v>
      </c>
      <c r="O59" s="5">
        <f t="shared" si="1"/>
        <v>1.1322160000000001E-2</v>
      </c>
      <c r="P59" s="5">
        <f t="shared" si="2"/>
        <v>3.8989E-4</v>
      </c>
    </row>
    <row r="60" spans="1:16" x14ac:dyDescent="0.25">
      <c r="A60" s="2">
        <v>46002</v>
      </c>
      <c r="B60" s="6" t="s">
        <v>24</v>
      </c>
      <c r="C60" t="s">
        <v>9</v>
      </c>
      <c r="D60" t="s">
        <v>12</v>
      </c>
      <c r="E60" t="s">
        <v>69</v>
      </c>
      <c r="F60" t="s">
        <v>46</v>
      </c>
      <c r="G60" t="s">
        <v>82</v>
      </c>
      <c r="H60" s="9">
        <f>'[1]Macro Info'!G15</f>
        <v>2.0500000000000001E-2</v>
      </c>
      <c r="I60" s="9">
        <f>'[1]Macro Info'!F17</f>
        <v>0.48</v>
      </c>
      <c r="J60" t="s">
        <v>17</v>
      </c>
      <c r="K60" s="5">
        <v>3.0599999999999999E-2</v>
      </c>
      <c r="N60" s="5">
        <f t="shared" si="3"/>
        <v>3.0599999999999999E-2</v>
      </c>
      <c r="O60" s="5">
        <f t="shared" si="1"/>
        <v>1.4688E-2</v>
      </c>
      <c r="P60" s="5">
        <f t="shared" si="2"/>
        <v>6.2730000000000001E-4</v>
      </c>
    </row>
    <row r="61" spans="1:16" x14ac:dyDescent="0.25">
      <c r="A61" s="2">
        <v>46002</v>
      </c>
      <c r="B61" s="3" t="s">
        <v>20</v>
      </c>
      <c r="C61" t="s">
        <v>20</v>
      </c>
      <c r="D61" t="s">
        <v>20</v>
      </c>
      <c r="E61" t="s">
        <v>20</v>
      </c>
      <c r="I61" s="10"/>
      <c r="J61" t="s">
        <v>20</v>
      </c>
      <c r="K61" s="5">
        <v>3.04E-2</v>
      </c>
      <c r="N61" s="5">
        <f t="shared" si="3"/>
        <v>3.04E-2</v>
      </c>
      <c r="O61" s="5">
        <f t="shared" si="1"/>
        <v>0</v>
      </c>
      <c r="P61" s="5">
        <f t="shared" si="2"/>
        <v>0</v>
      </c>
    </row>
    <row r="62" spans="1:16" x14ac:dyDescent="0.25">
      <c r="A62" s="2">
        <v>46002</v>
      </c>
      <c r="B62" s="3" t="s">
        <v>36</v>
      </c>
      <c r="C62" t="s">
        <v>20</v>
      </c>
      <c r="D62" t="s">
        <v>20</v>
      </c>
      <c r="E62" t="s">
        <v>20</v>
      </c>
      <c r="I62" s="10"/>
      <c r="J62" t="s">
        <v>20</v>
      </c>
      <c r="K62" s="5">
        <v>2.7199999999999998E-2</v>
      </c>
      <c r="L62" t="s">
        <v>23</v>
      </c>
      <c r="M62" s="5">
        <v>0.28899999999999998</v>
      </c>
      <c r="N62" s="5">
        <f>K62*M62</f>
        <v>7.8607999999999994E-3</v>
      </c>
      <c r="O62" s="5">
        <f t="shared" si="1"/>
        <v>0</v>
      </c>
      <c r="P62" s="5">
        <f t="shared" si="2"/>
        <v>0</v>
      </c>
    </row>
    <row r="63" spans="1:16" x14ac:dyDescent="0.25">
      <c r="A63" s="2">
        <v>46002</v>
      </c>
      <c r="B63" s="3" t="s">
        <v>37</v>
      </c>
      <c r="C63" t="s">
        <v>20</v>
      </c>
      <c r="D63" t="s">
        <v>20</v>
      </c>
      <c r="E63" t="s">
        <v>20</v>
      </c>
      <c r="I63" s="10"/>
      <c r="J63" t="s">
        <v>20</v>
      </c>
      <c r="K63" s="5">
        <v>6.2199999999999998E-2</v>
      </c>
      <c r="L63" t="s">
        <v>23</v>
      </c>
      <c r="M63" s="5">
        <v>0.28899999999999998</v>
      </c>
      <c r="N63" s="5">
        <f>K63*M63</f>
        <v>1.7975799999999997E-2</v>
      </c>
      <c r="O63" s="5">
        <f t="shared" si="1"/>
        <v>0</v>
      </c>
      <c r="P63" s="5">
        <f t="shared" si="2"/>
        <v>0</v>
      </c>
    </row>
    <row r="64" spans="1:16" x14ac:dyDescent="0.25">
      <c r="O64" s="4">
        <f>SUM(O2:O63)</f>
        <v>0.41990415678741327</v>
      </c>
      <c r="P64" s="4">
        <f>SUM(P2:P63)</f>
        <v>1.0398538364712499E-2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Augusto Bernardes Duarte</dc:creator>
  <cp:lastModifiedBy>Pedro Augusto Bernardes Duarte</cp:lastModifiedBy>
  <dcterms:created xsi:type="dcterms:W3CDTF">2025-12-11T18:35:18Z</dcterms:created>
  <dcterms:modified xsi:type="dcterms:W3CDTF">2025-12-16T20:00:57Z</dcterms:modified>
</cp:coreProperties>
</file>